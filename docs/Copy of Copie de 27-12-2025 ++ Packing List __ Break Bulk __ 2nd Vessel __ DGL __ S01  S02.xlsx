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eahorseexpress-my.sharepoint.com/personal/danny_seahorseexpress_com/Documents/Documents/"/>
    </mc:Choice>
  </mc:AlternateContent>
  <xr:revisionPtr revIDLastSave="0" documentId="8_{CF78B87B-0536-4114-91DC-01FC3A2EBD0A}" xr6:coauthVersionLast="47" xr6:coauthVersionMax="47" xr10:uidLastSave="{00000000-0000-0000-0000-000000000000}"/>
  <bookViews>
    <workbookView xWindow="-120" yWindow="-120" windowWidth="29040" windowHeight="15720" xr2:uid="{D6748250-9872-4011-882A-432DDCFFD95E}"/>
  </bookViews>
  <sheets>
    <sheet name="S01-101" sheetId="1" r:id="rId1"/>
    <sheet name="S02-102" sheetId="2" r:id="rId2"/>
    <sheet name="Tableau Comparatif" sheetId="3" r:id="rId3"/>
  </sheets>
  <definedNames>
    <definedName name="_xlnm._FilterDatabase" localSheetId="0" hidden="1">'S01-101'!$B$6:$P$54</definedName>
    <definedName name="_xlnm._FilterDatabase" localSheetId="1" hidden="1">'S02-102'!$B$6:$P$65</definedName>
    <definedName name="_xlnm._FilterDatabase" localSheetId="2" hidden="1">'Tableau Comparatif'!$B$4:$I$33</definedName>
    <definedName name="_xlnm.Print_Area" localSheetId="0">'S01-101'!$A$2:$Q$55</definedName>
    <definedName name="_xlnm.Print_Area" localSheetId="1">'S02-102'!$A$1:$P$69</definedName>
    <definedName name="_xlnm.Print_Area" localSheetId="2">'Tableau Comparatif'!$A$1:$J$33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2" l="1"/>
  <c r="O64" i="2"/>
  <c r="N64" i="2"/>
  <c r="M64" i="2"/>
  <c r="K64" i="2"/>
  <c r="I64" i="2"/>
  <c r="J64" i="2" s="1"/>
  <c r="O62" i="2"/>
  <c r="N62" i="2"/>
  <c r="M62" i="2"/>
  <c r="P62" i="2" s="1"/>
  <c r="K62" i="2"/>
  <c r="I62" i="2"/>
  <c r="J62" i="2" s="1"/>
  <c r="O18" i="2"/>
  <c r="O35" i="2"/>
  <c r="O38" i="2"/>
  <c r="O40" i="2"/>
  <c r="O34" i="2"/>
  <c r="O43" i="2"/>
  <c r="O31" i="2"/>
  <c r="O37" i="2"/>
  <c r="O36" i="2"/>
  <c r="O41" i="2"/>
  <c r="O42" i="2"/>
  <c r="O44" i="2"/>
  <c r="O13" i="2"/>
  <c r="O12" i="2"/>
  <c r="O15" i="2"/>
  <c r="O14" i="2"/>
  <c r="O48" i="2"/>
  <c r="O50" i="2"/>
  <c r="O10" i="2"/>
  <c r="O49" i="2"/>
  <c r="O51" i="2"/>
  <c r="O9" i="2"/>
  <c r="O8" i="2"/>
  <c r="O47" i="2"/>
  <c r="O24" i="2"/>
  <c r="O16" i="2"/>
  <c r="O46" i="2"/>
  <c r="O32" i="2"/>
  <c r="O21" i="2"/>
  <c r="O20" i="2"/>
  <c r="O23" i="2"/>
  <c r="O26" i="2"/>
  <c r="O19" i="2"/>
  <c r="O25" i="2"/>
  <c r="O33" i="2"/>
  <c r="O7" i="2"/>
  <c r="O45" i="2"/>
  <c r="O39" i="2"/>
  <c r="O59" i="2"/>
  <c r="O60" i="2"/>
  <c r="O56" i="2"/>
  <c r="O61" i="2"/>
  <c r="O52" i="2"/>
  <c r="O53" i="2"/>
  <c r="O57" i="2"/>
  <c r="O55" i="2"/>
  <c r="O54" i="2"/>
  <c r="O22" i="2"/>
  <c r="O58" i="2"/>
  <c r="O28" i="2"/>
  <c r="O27" i="2"/>
  <c r="O29" i="2"/>
  <c r="O30" i="2"/>
  <c r="O63" i="2"/>
  <c r="O17" i="2"/>
  <c r="N18" i="2"/>
  <c r="N35" i="2"/>
  <c r="N38" i="2"/>
  <c r="N40" i="2"/>
  <c r="N34" i="2"/>
  <c r="N43" i="2"/>
  <c r="N31" i="2"/>
  <c r="N37" i="2"/>
  <c r="N36" i="2"/>
  <c r="N41" i="2"/>
  <c r="N42" i="2"/>
  <c r="N44" i="2"/>
  <c r="N13" i="2"/>
  <c r="N12" i="2"/>
  <c r="N15" i="2"/>
  <c r="N14" i="2"/>
  <c r="N48" i="2"/>
  <c r="N50" i="2"/>
  <c r="N10" i="2"/>
  <c r="N49" i="2"/>
  <c r="N51" i="2"/>
  <c r="N9" i="2"/>
  <c r="N8" i="2"/>
  <c r="N47" i="2"/>
  <c r="N24" i="2"/>
  <c r="N16" i="2"/>
  <c r="N46" i="2"/>
  <c r="N32" i="2"/>
  <c r="N21" i="2"/>
  <c r="N20" i="2"/>
  <c r="N23" i="2"/>
  <c r="N26" i="2"/>
  <c r="N19" i="2"/>
  <c r="N25" i="2"/>
  <c r="N33" i="2"/>
  <c r="N7" i="2"/>
  <c r="N45" i="2"/>
  <c r="N39" i="2"/>
  <c r="N59" i="2"/>
  <c r="N60" i="2"/>
  <c r="N56" i="2"/>
  <c r="N61" i="2"/>
  <c r="N52" i="2"/>
  <c r="N53" i="2"/>
  <c r="N57" i="2"/>
  <c r="N55" i="2"/>
  <c r="N54" i="2"/>
  <c r="N22" i="2"/>
  <c r="N58" i="2"/>
  <c r="N28" i="2"/>
  <c r="N27" i="2"/>
  <c r="N29" i="2"/>
  <c r="N30" i="2"/>
  <c r="N63" i="2"/>
  <c r="N17" i="2"/>
  <c r="M18" i="2"/>
  <c r="M35" i="2"/>
  <c r="M38" i="2"/>
  <c r="M40" i="2"/>
  <c r="M34" i="2"/>
  <c r="M43" i="2"/>
  <c r="M31" i="2"/>
  <c r="M37" i="2"/>
  <c r="M36" i="2"/>
  <c r="M41" i="2"/>
  <c r="M42" i="2"/>
  <c r="M44" i="2"/>
  <c r="M12" i="2"/>
  <c r="M15" i="2"/>
  <c r="M14" i="2"/>
  <c r="M48" i="2"/>
  <c r="M50" i="2"/>
  <c r="M10" i="2"/>
  <c r="M49" i="2"/>
  <c r="M51" i="2"/>
  <c r="M9" i="2"/>
  <c r="M8" i="2"/>
  <c r="M47" i="2"/>
  <c r="M24" i="2"/>
  <c r="M16" i="2"/>
  <c r="M46" i="2"/>
  <c r="M32" i="2"/>
  <c r="M21" i="2"/>
  <c r="M20" i="2"/>
  <c r="M23" i="2"/>
  <c r="M26" i="2"/>
  <c r="M19" i="2"/>
  <c r="M25" i="2"/>
  <c r="M33" i="2"/>
  <c r="M7" i="2"/>
  <c r="M45" i="2"/>
  <c r="M39" i="2"/>
  <c r="M59" i="2"/>
  <c r="M60" i="2"/>
  <c r="M56" i="2"/>
  <c r="M61" i="2"/>
  <c r="M52" i="2"/>
  <c r="M53" i="2"/>
  <c r="M57" i="2"/>
  <c r="M55" i="2"/>
  <c r="M54" i="2"/>
  <c r="M22" i="2"/>
  <c r="M58" i="2"/>
  <c r="M28" i="2"/>
  <c r="M27" i="2"/>
  <c r="M29" i="2"/>
  <c r="M30" i="2"/>
  <c r="M63" i="2"/>
  <c r="M17" i="2"/>
  <c r="I18" i="2"/>
  <c r="J18" i="2" s="1"/>
  <c r="I35" i="2"/>
  <c r="J35" i="2" s="1"/>
  <c r="I38" i="2"/>
  <c r="J38" i="2" s="1"/>
  <c r="I40" i="2"/>
  <c r="J40" i="2" s="1"/>
  <c r="I34" i="2"/>
  <c r="J34" i="2" s="1"/>
  <c r="I43" i="2"/>
  <c r="J43" i="2" s="1"/>
  <c r="I31" i="2"/>
  <c r="J31" i="2" s="1"/>
  <c r="I37" i="2"/>
  <c r="J37" i="2" s="1"/>
  <c r="I36" i="2"/>
  <c r="J36" i="2" s="1"/>
  <c r="I41" i="2"/>
  <c r="J41" i="2" s="1"/>
  <c r="I11" i="2"/>
  <c r="J11" i="2" s="1"/>
  <c r="I42" i="2"/>
  <c r="J42" i="2" s="1"/>
  <c r="I44" i="2"/>
  <c r="J44" i="2" s="1"/>
  <c r="I13" i="2"/>
  <c r="J13" i="2" s="1"/>
  <c r="I12" i="2"/>
  <c r="J12" i="2" s="1"/>
  <c r="I15" i="2"/>
  <c r="J15" i="2" s="1"/>
  <c r="I14" i="2"/>
  <c r="J14" i="2" s="1"/>
  <c r="I48" i="2"/>
  <c r="J48" i="2" s="1"/>
  <c r="I50" i="2"/>
  <c r="J50" i="2" s="1"/>
  <c r="I10" i="2"/>
  <c r="J10" i="2" s="1"/>
  <c r="I49" i="2"/>
  <c r="J49" i="2" s="1"/>
  <c r="I51" i="2"/>
  <c r="J51" i="2" s="1"/>
  <c r="I9" i="2"/>
  <c r="J9" i="2" s="1"/>
  <c r="I8" i="2"/>
  <c r="J8" i="2" s="1"/>
  <c r="I47" i="2"/>
  <c r="J47" i="2" s="1"/>
  <c r="I24" i="2"/>
  <c r="J24" i="2" s="1"/>
  <c r="I16" i="2"/>
  <c r="J16" i="2" s="1"/>
  <c r="I46" i="2"/>
  <c r="J46" i="2" s="1"/>
  <c r="I32" i="2"/>
  <c r="J32" i="2" s="1"/>
  <c r="I21" i="2"/>
  <c r="J21" i="2" s="1"/>
  <c r="I20" i="2"/>
  <c r="J20" i="2" s="1"/>
  <c r="I23" i="2"/>
  <c r="J23" i="2" s="1"/>
  <c r="I26" i="2"/>
  <c r="J26" i="2" s="1"/>
  <c r="I19" i="2"/>
  <c r="J19" i="2" s="1"/>
  <c r="I25" i="2"/>
  <c r="J25" i="2" s="1"/>
  <c r="I33" i="2"/>
  <c r="J33" i="2" s="1"/>
  <c r="I7" i="2"/>
  <c r="J7" i="2" s="1"/>
  <c r="I45" i="2"/>
  <c r="J45" i="2" s="1"/>
  <c r="I39" i="2"/>
  <c r="J39" i="2" s="1"/>
  <c r="I59" i="2"/>
  <c r="J59" i="2" s="1"/>
  <c r="I60" i="2"/>
  <c r="J60" i="2" s="1"/>
  <c r="I56" i="2"/>
  <c r="J56" i="2" s="1"/>
  <c r="I61" i="2"/>
  <c r="J61" i="2" s="1"/>
  <c r="I52" i="2"/>
  <c r="J52" i="2" s="1"/>
  <c r="I53" i="2"/>
  <c r="J53" i="2" s="1"/>
  <c r="I57" i="2"/>
  <c r="J57" i="2" s="1"/>
  <c r="I55" i="2"/>
  <c r="J55" i="2" s="1"/>
  <c r="I54" i="2"/>
  <c r="J54" i="2" s="1"/>
  <c r="I58" i="2"/>
  <c r="J58" i="2" s="1"/>
  <c r="I28" i="2"/>
  <c r="J28" i="2" s="1"/>
  <c r="I27" i="2"/>
  <c r="J27" i="2" s="1"/>
  <c r="I29" i="2"/>
  <c r="J29" i="2" s="1"/>
  <c r="I30" i="2"/>
  <c r="J30" i="2" s="1"/>
  <c r="I63" i="2"/>
  <c r="J63" i="2" s="1"/>
  <c r="I17" i="2"/>
  <c r="J17" i="2" s="1"/>
  <c r="K18" i="2"/>
  <c r="K35" i="2"/>
  <c r="K38" i="2"/>
  <c r="K40" i="2"/>
  <c r="K34" i="2"/>
  <c r="K43" i="2"/>
  <c r="K31" i="2"/>
  <c r="K37" i="2"/>
  <c r="K36" i="2"/>
  <c r="K41" i="2"/>
  <c r="K42" i="2"/>
  <c r="K44" i="2"/>
  <c r="K12" i="2"/>
  <c r="K15" i="2"/>
  <c r="K14" i="2"/>
  <c r="K48" i="2"/>
  <c r="K50" i="2"/>
  <c r="K10" i="2"/>
  <c r="K49" i="2"/>
  <c r="K51" i="2"/>
  <c r="K9" i="2"/>
  <c r="K8" i="2"/>
  <c r="K47" i="2"/>
  <c r="K24" i="2"/>
  <c r="K16" i="2"/>
  <c r="K46" i="2"/>
  <c r="K32" i="2"/>
  <c r="K21" i="2"/>
  <c r="K20" i="2"/>
  <c r="K23" i="2"/>
  <c r="K26" i="2"/>
  <c r="K19" i="2"/>
  <c r="K25" i="2"/>
  <c r="K33" i="2"/>
  <c r="K7" i="2"/>
  <c r="K45" i="2"/>
  <c r="K39" i="2"/>
  <c r="K59" i="2"/>
  <c r="K60" i="2"/>
  <c r="K56" i="2"/>
  <c r="K61" i="2"/>
  <c r="K52" i="2"/>
  <c r="K53" i="2"/>
  <c r="K57" i="2"/>
  <c r="K55" i="2"/>
  <c r="K54" i="2"/>
  <c r="K22" i="2"/>
  <c r="K58" i="2"/>
  <c r="K28" i="2"/>
  <c r="K27" i="2"/>
  <c r="K29" i="2"/>
  <c r="K30" i="2"/>
  <c r="K63" i="2"/>
  <c r="K17" i="2"/>
  <c r="P64" i="2" l="1"/>
  <c r="P61" i="2"/>
  <c r="P28" i="2"/>
  <c r="P25" i="2"/>
  <c r="P50" i="2"/>
  <c r="P16" i="2"/>
  <c r="P24" i="2"/>
  <c r="P56" i="2"/>
  <c r="P34" i="2"/>
  <c r="P53" i="2"/>
  <c r="P29" i="2"/>
  <c r="P44" i="2"/>
  <c r="P7" i="2"/>
  <c r="P60" i="2"/>
  <c r="P49" i="2"/>
  <c r="P32" i="2"/>
  <c r="P52" i="2"/>
  <c r="P46" i="2"/>
  <c r="P42" i="2"/>
  <c r="P27" i="2"/>
  <c r="P22" i="2"/>
  <c r="P14" i="2"/>
  <c r="P26" i="2"/>
  <c r="P33" i="2"/>
  <c r="P10" i="2"/>
  <c r="P40" i="2"/>
  <c r="P30" i="2"/>
  <c r="P45" i="2"/>
  <c r="P51" i="2"/>
  <c r="P43" i="2"/>
  <c r="P38" i="2"/>
  <c r="P58" i="2"/>
  <c r="P19" i="2"/>
  <c r="P48" i="2"/>
  <c r="P35" i="2"/>
  <c r="P41" i="2"/>
  <c r="P47" i="2"/>
  <c r="P18" i="2"/>
  <c r="P36" i="2"/>
  <c r="P54" i="2"/>
  <c r="P23" i="2"/>
  <c r="P15" i="2"/>
  <c r="P17" i="2"/>
  <c r="P8" i="2"/>
  <c r="P37" i="2"/>
  <c r="P55" i="2"/>
  <c r="P20" i="2"/>
  <c r="P12" i="2"/>
  <c r="P63" i="2"/>
  <c r="P39" i="2"/>
  <c r="P9" i="2"/>
  <c r="P31" i="2"/>
  <c r="P59" i="2"/>
  <c r="P57" i="2"/>
  <c r="P21" i="2"/>
  <c r="O53" i="1" l="1"/>
  <c r="O18" i="1"/>
  <c r="O35" i="1"/>
  <c r="O38" i="1"/>
  <c r="O40" i="1"/>
  <c r="O34" i="1"/>
  <c r="O43" i="1"/>
  <c r="O31" i="1"/>
  <c r="O37" i="1"/>
  <c r="O36" i="1"/>
  <c r="O41" i="1"/>
  <c r="O42" i="1"/>
  <c r="O44" i="1"/>
  <c r="O13" i="1"/>
  <c r="O12" i="1"/>
  <c r="O15" i="1"/>
  <c r="O14" i="1"/>
  <c r="O48" i="1"/>
  <c r="O50" i="1"/>
  <c r="O10" i="1"/>
  <c r="O49" i="1"/>
  <c r="O51" i="1"/>
  <c r="O9" i="1"/>
  <c r="O8" i="1"/>
  <c r="O47" i="1"/>
  <c r="O24" i="1"/>
  <c r="O16" i="1"/>
  <c r="O46" i="1"/>
  <c r="O32" i="1"/>
  <c r="O21" i="1"/>
  <c r="O20" i="1"/>
  <c r="O23" i="1"/>
  <c r="O26" i="1"/>
  <c r="O19" i="1"/>
  <c r="O25" i="1"/>
  <c r="O33" i="1"/>
  <c r="O7" i="1"/>
  <c r="O45" i="1"/>
  <c r="O39" i="1"/>
  <c r="O52" i="1"/>
  <c r="O22" i="1"/>
  <c r="O28" i="1"/>
  <c r="O27" i="1"/>
  <c r="O29" i="1"/>
  <c r="O30" i="1"/>
  <c r="N53" i="1"/>
  <c r="N18" i="1"/>
  <c r="N35" i="1"/>
  <c r="N38" i="1"/>
  <c r="N40" i="1"/>
  <c r="N34" i="1"/>
  <c r="N43" i="1"/>
  <c r="N31" i="1"/>
  <c r="N37" i="1"/>
  <c r="N36" i="1"/>
  <c r="N41" i="1"/>
  <c r="N42" i="1"/>
  <c r="N44" i="1"/>
  <c r="N13" i="1"/>
  <c r="N12" i="1"/>
  <c r="N15" i="1"/>
  <c r="N14" i="1"/>
  <c r="N48" i="1"/>
  <c r="N50" i="1"/>
  <c r="N10" i="1"/>
  <c r="N49" i="1"/>
  <c r="N51" i="1"/>
  <c r="N9" i="1"/>
  <c r="N8" i="1"/>
  <c r="N47" i="1"/>
  <c r="N24" i="1"/>
  <c r="N16" i="1"/>
  <c r="N46" i="1"/>
  <c r="N32" i="1"/>
  <c r="N21" i="1"/>
  <c r="N20" i="1"/>
  <c r="N23" i="1"/>
  <c r="N26" i="1"/>
  <c r="N19" i="1"/>
  <c r="N25" i="1"/>
  <c r="N33" i="1"/>
  <c r="N7" i="1"/>
  <c r="N45" i="1"/>
  <c r="N39" i="1"/>
  <c r="N52" i="1"/>
  <c r="N22" i="1"/>
  <c r="N28" i="1"/>
  <c r="N27" i="1"/>
  <c r="N29" i="1"/>
  <c r="N30" i="1"/>
  <c r="M53" i="1"/>
  <c r="M18" i="1"/>
  <c r="M35" i="1"/>
  <c r="M38" i="1"/>
  <c r="M40" i="1"/>
  <c r="M34" i="1"/>
  <c r="M43" i="1"/>
  <c r="M31" i="1"/>
  <c r="M37" i="1"/>
  <c r="M36" i="1"/>
  <c r="M41" i="1"/>
  <c r="M42" i="1"/>
  <c r="M44" i="1"/>
  <c r="M12" i="1"/>
  <c r="M15" i="1"/>
  <c r="M14" i="1"/>
  <c r="M48" i="1"/>
  <c r="M50" i="1"/>
  <c r="M10" i="1"/>
  <c r="M49" i="1"/>
  <c r="M51" i="1"/>
  <c r="M9" i="1"/>
  <c r="M8" i="1"/>
  <c r="M47" i="1"/>
  <c r="M24" i="1"/>
  <c r="M16" i="1"/>
  <c r="M46" i="1"/>
  <c r="M32" i="1"/>
  <c r="M21" i="1"/>
  <c r="M20" i="1"/>
  <c r="M23" i="1"/>
  <c r="M26" i="1"/>
  <c r="M19" i="1"/>
  <c r="M25" i="1"/>
  <c r="M33" i="1"/>
  <c r="M7" i="1"/>
  <c r="M45" i="1"/>
  <c r="M39" i="1"/>
  <c r="M52" i="1"/>
  <c r="M22" i="1"/>
  <c r="M28" i="1"/>
  <c r="M27" i="1"/>
  <c r="M29" i="1"/>
  <c r="M30" i="1"/>
  <c r="K17" i="1"/>
  <c r="P25" i="1" l="1"/>
  <c r="P50" i="1"/>
  <c r="P38" i="1"/>
  <c r="P31" i="1"/>
  <c r="P39" i="1"/>
  <c r="P33" i="1"/>
  <c r="P10" i="1"/>
  <c r="P40" i="1"/>
  <c r="P12" i="1"/>
  <c r="P9" i="1"/>
  <c r="P21" i="1"/>
  <c r="P32" i="1"/>
  <c r="P42" i="1"/>
  <c r="P24" i="1"/>
  <c r="P16" i="1"/>
  <c r="P22" i="1"/>
  <c r="P36" i="1"/>
  <c r="P52" i="1"/>
  <c r="P37" i="1"/>
  <c r="P45" i="1"/>
  <c r="P51" i="1"/>
  <c r="P43" i="1"/>
  <c r="P30" i="1"/>
  <c r="P29" i="1"/>
  <c r="P41" i="1"/>
  <c r="P27" i="1"/>
  <c r="P47" i="1"/>
  <c r="P8" i="1"/>
  <c r="P7" i="1"/>
  <c r="P49" i="1"/>
  <c r="P34" i="1"/>
  <c r="P44" i="1"/>
  <c r="P46" i="1"/>
  <c r="P28" i="1"/>
  <c r="P20" i="1"/>
  <c r="P19" i="1"/>
  <c r="P48" i="1"/>
  <c r="P35" i="1"/>
  <c r="P26" i="1"/>
  <c r="P14" i="1"/>
  <c r="P18" i="1"/>
  <c r="P23" i="1"/>
  <c r="P15" i="1"/>
  <c r="P53" i="1"/>
  <c r="O17" i="1"/>
  <c r="N17" i="1"/>
  <c r="M17" i="1"/>
  <c r="K53" i="1"/>
  <c r="K18" i="1"/>
  <c r="K35" i="1"/>
  <c r="K38" i="1"/>
  <c r="K40" i="1"/>
  <c r="K34" i="1"/>
  <c r="K43" i="1"/>
  <c r="K31" i="1"/>
  <c r="K37" i="1"/>
  <c r="K36" i="1"/>
  <c r="K41" i="1"/>
  <c r="K42" i="1"/>
  <c r="K44" i="1"/>
  <c r="K12" i="1"/>
  <c r="K15" i="1"/>
  <c r="K14" i="1"/>
  <c r="K48" i="1"/>
  <c r="K50" i="1"/>
  <c r="K10" i="1"/>
  <c r="K49" i="1"/>
  <c r="K51" i="1"/>
  <c r="K9" i="1"/>
  <c r="K8" i="1"/>
  <c r="K47" i="1"/>
  <c r="K24" i="1"/>
  <c r="K16" i="1"/>
  <c r="K46" i="1"/>
  <c r="K32" i="1"/>
  <c r="K21" i="1"/>
  <c r="K20" i="1"/>
  <c r="K23" i="1"/>
  <c r="K26" i="1"/>
  <c r="K19" i="1"/>
  <c r="K25" i="1"/>
  <c r="K33" i="1"/>
  <c r="K7" i="1"/>
  <c r="K45" i="1"/>
  <c r="K39" i="1"/>
  <c r="K52" i="1"/>
  <c r="K22" i="1"/>
  <c r="K28" i="1"/>
  <c r="K27" i="1"/>
  <c r="K29" i="1"/>
  <c r="K30" i="1"/>
  <c r="I53" i="1"/>
  <c r="J53" i="1" s="1"/>
  <c r="I18" i="1"/>
  <c r="J18" i="1" s="1"/>
  <c r="I35" i="1"/>
  <c r="J35" i="1" s="1"/>
  <c r="I38" i="1"/>
  <c r="J38" i="1" s="1"/>
  <c r="I40" i="1"/>
  <c r="J40" i="1" s="1"/>
  <c r="I34" i="1"/>
  <c r="J34" i="1" s="1"/>
  <c r="I43" i="1"/>
  <c r="J43" i="1" s="1"/>
  <c r="I31" i="1"/>
  <c r="J31" i="1" s="1"/>
  <c r="I37" i="1"/>
  <c r="J37" i="1" s="1"/>
  <c r="I36" i="1"/>
  <c r="J36" i="1" s="1"/>
  <c r="I41" i="1"/>
  <c r="J41" i="1" s="1"/>
  <c r="I11" i="1"/>
  <c r="J11" i="1" s="1"/>
  <c r="I42" i="1"/>
  <c r="J42" i="1" s="1"/>
  <c r="I44" i="1"/>
  <c r="J44" i="1" s="1"/>
  <c r="I13" i="1"/>
  <c r="J13" i="1" s="1"/>
  <c r="I12" i="1"/>
  <c r="J12" i="1" s="1"/>
  <c r="I15" i="1"/>
  <c r="J15" i="1" s="1"/>
  <c r="I14" i="1"/>
  <c r="J14" i="1" s="1"/>
  <c r="I48" i="1"/>
  <c r="J48" i="1" s="1"/>
  <c r="I50" i="1"/>
  <c r="J50" i="1" s="1"/>
  <c r="I10" i="1"/>
  <c r="J10" i="1" s="1"/>
  <c r="I49" i="1"/>
  <c r="J49" i="1" s="1"/>
  <c r="I51" i="1"/>
  <c r="J51" i="1" s="1"/>
  <c r="I9" i="1"/>
  <c r="J9" i="1" s="1"/>
  <c r="I8" i="1"/>
  <c r="J8" i="1" s="1"/>
  <c r="I47" i="1"/>
  <c r="J47" i="1" s="1"/>
  <c r="I24" i="1"/>
  <c r="J24" i="1" s="1"/>
  <c r="I16" i="1"/>
  <c r="J16" i="1" s="1"/>
  <c r="I46" i="1"/>
  <c r="J46" i="1" s="1"/>
  <c r="I32" i="1"/>
  <c r="J32" i="1" s="1"/>
  <c r="I21" i="1"/>
  <c r="J21" i="1" s="1"/>
  <c r="I20" i="1"/>
  <c r="J20" i="1" s="1"/>
  <c r="I23" i="1"/>
  <c r="J23" i="1" s="1"/>
  <c r="I26" i="1"/>
  <c r="J26" i="1" s="1"/>
  <c r="I19" i="1"/>
  <c r="J19" i="1" s="1"/>
  <c r="I25" i="1"/>
  <c r="J25" i="1" s="1"/>
  <c r="I33" i="1"/>
  <c r="J33" i="1" s="1"/>
  <c r="I7" i="1"/>
  <c r="J7" i="1" s="1"/>
  <c r="I45" i="1"/>
  <c r="J45" i="1" s="1"/>
  <c r="I39" i="1"/>
  <c r="J39" i="1" s="1"/>
  <c r="I52" i="1"/>
  <c r="J52" i="1" s="1"/>
  <c r="I28" i="1"/>
  <c r="J28" i="1" s="1"/>
  <c r="I27" i="1"/>
  <c r="J27" i="1" s="1"/>
  <c r="I29" i="1"/>
  <c r="J29" i="1" s="1"/>
  <c r="I30" i="1"/>
  <c r="J30" i="1" s="1"/>
  <c r="I17" i="1"/>
  <c r="J17" i="1" s="1"/>
  <c r="P17" i="1" l="1"/>
  <c r="D54" i="1" l="1"/>
  <c r="L22" i="2"/>
  <c r="F13" i="2"/>
  <c r="H11" i="2"/>
  <c r="O11" i="2" s="1"/>
  <c r="G11" i="2"/>
  <c r="N11" i="2" s="1"/>
  <c r="F11" i="2"/>
  <c r="L22" i="1"/>
  <c r="F13" i="1"/>
  <c r="H11" i="1"/>
  <c r="O11" i="1" s="1"/>
  <c r="G11" i="1"/>
  <c r="N11" i="1" s="1"/>
  <c r="F11" i="1"/>
  <c r="M11" i="2" l="1"/>
  <c r="P11" i="2" s="1"/>
  <c r="K11" i="2"/>
  <c r="K13" i="2"/>
  <c r="M13" i="2"/>
  <c r="P13" i="2" s="1"/>
  <c r="L65" i="2"/>
  <c r="I22" i="2"/>
  <c r="M11" i="1"/>
  <c r="P11" i="1" s="1"/>
  <c r="K11" i="1"/>
  <c r="I22" i="1"/>
  <c r="L54" i="1"/>
  <c r="M13" i="1"/>
  <c r="P13" i="1" s="1"/>
  <c r="K13" i="1"/>
  <c r="J22" i="2" l="1"/>
  <c r="J65" i="2" s="1"/>
  <c r="I65" i="2"/>
  <c r="K65" i="2"/>
  <c r="P65" i="2"/>
  <c r="P54" i="1"/>
  <c r="J22" i="1"/>
  <c r="J54" i="1" s="1"/>
  <c r="I54" i="1"/>
  <c r="K54" i="1"/>
</calcChain>
</file>

<file path=xl/sharedStrings.xml><?xml version="1.0" encoding="utf-8"?>
<sst xmlns="http://schemas.openxmlformats.org/spreadsheetml/2006/main" count="431" uniqueCount="199">
  <si>
    <t>Vessel</t>
  </si>
  <si>
    <t>QTY</t>
  </si>
  <si>
    <t>Description</t>
  </si>
  <si>
    <t>L (meters)</t>
  </si>
  <si>
    <t>W (meters)</t>
  </si>
  <si>
    <t>H (meters)</t>
  </si>
  <si>
    <t>LBS</t>
  </si>
  <si>
    <t>Collector Rings</t>
  </si>
  <si>
    <t>Base Section OS-2</t>
  </si>
  <si>
    <t>Base Section OS-4</t>
  </si>
  <si>
    <t>Base Section OS-3</t>
  </si>
  <si>
    <t>Base Section OS-6</t>
  </si>
  <si>
    <t>Base Section OS-5</t>
  </si>
  <si>
    <t>Roof Section L1</t>
  </si>
  <si>
    <t>Roof Section R1</t>
  </si>
  <si>
    <t>Base Section OS-1</t>
  </si>
  <si>
    <t>Roof Section L2</t>
  </si>
  <si>
    <t>Roof Section R2</t>
  </si>
  <si>
    <t>Base Section IS-2</t>
  </si>
  <si>
    <t>Base Section IS-1</t>
  </si>
  <si>
    <t>Roof L4</t>
  </si>
  <si>
    <t>Fairleaf Link</t>
  </si>
  <si>
    <t>Fairlead Shear Cap</t>
  </si>
  <si>
    <t>Lube Room Floor</t>
  </si>
  <si>
    <t>Compressor Dec</t>
  </si>
  <si>
    <t>Base Center CS-1</t>
  </si>
  <si>
    <t>Tool Room</t>
  </si>
  <si>
    <t>EXHAUST FAN LS REAR</t>
  </si>
  <si>
    <t>Cab Support #16</t>
  </si>
  <si>
    <t>Revolving Frame #2</t>
  </si>
  <si>
    <t>Revolving Frame #11</t>
  </si>
  <si>
    <t>GW (t)</t>
  </si>
  <si>
    <t>GW (kg)</t>
  </si>
  <si>
    <t>CBM</t>
  </si>
  <si>
    <t>Revolving Frame #1</t>
  </si>
  <si>
    <t>Revolving Frame #7</t>
  </si>
  <si>
    <t>Revolving Frame #8</t>
  </si>
  <si>
    <t>Frame Unit #10</t>
  </si>
  <si>
    <t>Revolving Frame #9</t>
  </si>
  <si>
    <t>L (inch)</t>
  </si>
  <si>
    <t>W (inch)</t>
  </si>
  <si>
    <t>H (inch)</t>
  </si>
  <si>
    <t>CBF</t>
  </si>
  <si>
    <t>Revolving Frame #4</t>
  </si>
  <si>
    <t>Revolving Frame #5 +3</t>
  </si>
  <si>
    <t>Revolving Frame #15</t>
  </si>
  <si>
    <t>Revolving Frame #3A</t>
  </si>
  <si>
    <t>Revolving Frame #3</t>
  </si>
  <si>
    <t>Revolving Frame #6</t>
  </si>
  <si>
    <t>Revolving Frame #6A</t>
  </si>
  <si>
    <t>Revolving Frame Unit #14</t>
  </si>
  <si>
    <t>Revolving Frame #13</t>
  </si>
  <si>
    <t>Revolving Frame #4A</t>
  </si>
  <si>
    <t>N°</t>
  </si>
  <si>
    <r>
      <t xml:space="preserve">S01 - </t>
    </r>
    <r>
      <rPr>
        <b/>
        <sz val="13"/>
        <color rgb="FFFF00FF"/>
        <rFont val="Times New Roman"/>
        <family val="1"/>
      </rPr>
      <t>01</t>
    </r>
  </si>
  <si>
    <r>
      <t xml:space="preserve">S01 - </t>
    </r>
    <r>
      <rPr>
        <b/>
        <sz val="13"/>
        <color rgb="FFFF00FF"/>
        <rFont val="Times New Roman"/>
        <family val="1"/>
      </rPr>
      <t>02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</si>
  <si>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03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</si>
  <si>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04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</si>
  <si>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05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</si>
  <si>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06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</si>
  <si>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07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</si>
  <si>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08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</si>
  <si>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09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</si>
  <si>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10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</si>
  <si>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11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</si>
  <si>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12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</si>
  <si>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13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</si>
  <si>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14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</si>
  <si>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15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</si>
  <si>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16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</si>
  <si>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17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</si>
  <si>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18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</si>
  <si>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19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</si>
  <si>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20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</si>
  <si>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21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</si>
  <si>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22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</si>
  <si>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23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</si>
  <si>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24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</si>
  <si>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25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</si>
  <si>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26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</si>
  <si>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27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</si>
  <si>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28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</si>
  <si>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29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</si>
  <si>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30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</si>
  <si>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31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</si>
  <si>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32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</si>
  <si>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33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</si>
  <si>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34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</si>
  <si>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35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</si>
  <si>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36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</si>
  <si>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37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</si>
  <si>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38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</si>
  <si>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39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</si>
  <si>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40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</si>
  <si>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41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</si>
  <si>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42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</si>
  <si>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43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</si>
  <si>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44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</si>
  <si>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45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</si>
  <si>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46</t>
    </r>
    <r>
      <rPr>
        <sz val="11"/>
        <color theme="1"/>
        <rFont val="Aptos Narrow"/>
        <family val="2"/>
        <scheme val="minor"/>
      </rPr>
      <t/>
    </r>
  </si>
  <si>
    <r>
      <t xml:space="preserve">S01 - </t>
    </r>
    <r>
      <rPr>
        <b/>
        <sz val="13"/>
        <color rgb="FFFF00FF"/>
        <rFont val="Times New Roman"/>
        <family val="1"/>
      </rPr>
      <t>47</t>
    </r>
    <r>
      <rPr>
        <sz val="11"/>
        <color theme="1"/>
        <rFont val="Aptos Narrow"/>
        <family val="2"/>
        <scheme val="minor"/>
      </rPr>
      <t/>
    </r>
  </si>
  <si>
    <t xml:space="preserve">Break Bulk Loading Plan </t>
  </si>
  <si>
    <t>Longview, 27/12/2025</t>
  </si>
  <si>
    <t>F4F</t>
  </si>
  <si>
    <t>V02</t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</si>
  <si>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01</t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</si>
  <si>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02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</si>
  <si>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03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</si>
  <si>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04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</si>
  <si>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05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</si>
  <si>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06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</si>
  <si>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07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</si>
  <si>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08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</si>
  <si>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09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</si>
  <si>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10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</si>
  <si>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12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</si>
  <si>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13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</si>
  <si>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14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</si>
  <si>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15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</si>
  <si>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16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</si>
  <si>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17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</si>
  <si>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18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</si>
  <si>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19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</si>
  <si>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20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</si>
  <si>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21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</si>
  <si>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22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</si>
  <si>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23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</si>
  <si>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24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</si>
  <si>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25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</si>
  <si>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26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</si>
  <si>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27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</si>
  <si>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28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</si>
  <si>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29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</si>
  <si>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30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</si>
  <si>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31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</si>
  <si>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32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</si>
  <si>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33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</si>
  <si>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34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</si>
  <si>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35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</si>
  <si>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36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</si>
  <si>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37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</si>
  <si>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38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</si>
  <si>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39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</si>
  <si>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40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</si>
  <si>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41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</si>
  <si>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42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</si>
  <si>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43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</si>
  <si>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44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</si>
  <si>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45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</si>
  <si>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46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</si>
  <si>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47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</si>
  <si>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48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</si>
  <si>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49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</si>
  <si>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50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</si>
  <si>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51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</si>
  <si>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52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</si>
  <si>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53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</si>
  <si>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54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</si>
  <si>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55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</si>
  <si>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56</t>
    </r>
    <r>
      <rPr>
        <sz val="11"/>
        <color theme="1"/>
        <rFont val="Aptos Narrow"/>
        <family val="2"/>
        <scheme val="minor"/>
      </rPr>
      <t/>
    </r>
  </si>
  <si>
    <t>Z] 3RD INTER GEAR BOX 1020435 (#001)</t>
  </si>
  <si>
    <t>Z] 3RD INTER GEAR BOX 1020435 (#002)</t>
  </si>
  <si>
    <t>Z] Back Leg (#001)</t>
  </si>
  <si>
    <t>Z] Back Leg (#002)</t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</si>
  <si>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57</t>
    </r>
    <r>
      <rPr>
        <sz val="11"/>
        <color theme="1"/>
        <rFont val="Aptos Narrow"/>
        <family val="2"/>
        <scheme val="minor"/>
      </rPr>
      <t/>
    </r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</si>
  <si>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58</t>
    </r>
    <r>
      <rPr>
        <sz val="11"/>
        <color theme="1"/>
        <rFont val="Aptos Narrow"/>
        <family val="2"/>
        <scheme val="minor"/>
      </rPr>
      <t/>
    </r>
  </si>
  <si>
    <t>Panels Assembly (#01)</t>
  </si>
  <si>
    <t>Panels Assembly (#02)</t>
  </si>
  <si>
    <t>Panels Assembly (#03)</t>
  </si>
  <si>
    <t>Panels Assembly (#04)</t>
  </si>
  <si>
    <t>Dog House Side Panel (#01)</t>
  </si>
  <si>
    <t>Dog House Side Panel (#02)</t>
  </si>
  <si>
    <r>
      <t xml:space="preserve">Bucket Arch </t>
    </r>
    <r>
      <rPr>
        <b/>
        <sz val="13"/>
        <color rgb="FFFF00FF"/>
        <rFont val="Times New Roman"/>
        <family val="1"/>
      </rPr>
      <t>Spare</t>
    </r>
  </si>
  <si>
    <r>
      <rPr>
        <b/>
        <sz val="13"/>
        <color rgb="FFFF00FF"/>
        <rFont val="Times New Roman"/>
        <family val="1"/>
      </rPr>
      <t>SPARE</t>
    </r>
    <r>
      <rPr>
        <sz val="13"/>
        <rFont val="Times New Roman"/>
        <family val="1"/>
      </rPr>
      <t xml:space="preserve">  FRAME, LOWER CAM</t>
    </r>
  </si>
  <si>
    <r>
      <rPr>
        <b/>
        <sz val="13"/>
        <color rgb="FFFF00FF"/>
        <rFont val="Times New Roman"/>
        <family val="1"/>
      </rPr>
      <t>SPARE</t>
    </r>
    <r>
      <rPr>
        <sz val="13"/>
        <rFont val="Times New Roman"/>
        <family val="1"/>
      </rPr>
      <t xml:space="preserve"> INTER SUSP LOWER MAIN </t>
    </r>
    <r>
      <rPr>
        <b/>
        <sz val="13"/>
        <rFont val="Times New Roman"/>
        <family val="1"/>
      </rPr>
      <t>1650038</t>
    </r>
  </si>
  <si>
    <r>
      <rPr>
        <b/>
        <sz val="13"/>
        <color rgb="FFFF00FF"/>
        <rFont val="Times New Roman"/>
        <family val="1"/>
      </rPr>
      <t>SPARE</t>
    </r>
    <r>
      <rPr>
        <sz val="13"/>
        <rFont val="Times New Roman"/>
        <family val="1"/>
      </rPr>
      <t xml:space="preserve"> INTER SUSP UPPER MAIN 98356  1650037</t>
    </r>
  </si>
  <si>
    <r>
      <rPr>
        <sz val="13"/>
        <color rgb="FFFF00FF"/>
        <rFont val="Times New Roman"/>
        <family val="1"/>
      </rPr>
      <t>SPARE</t>
    </r>
    <r>
      <rPr>
        <sz val="13"/>
        <rFont val="Times New Roman"/>
        <family val="1"/>
      </rPr>
      <t xml:space="preserve"> PROPEL BULL GEAR BOX </t>
    </r>
  </si>
  <si>
    <r>
      <rPr>
        <b/>
        <sz val="13"/>
        <color rgb="FFFF00FF"/>
        <rFont val="Times New Roman"/>
        <family val="1"/>
      </rPr>
      <t>SPARE</t>
    </r>
    <r>
      <rPr>
        <sz val="13"/>
        <rFont val="Times New Roman"/>
        <family val="1"/>
      </rPr>
      <t xml:space="preserve"> SECONDARY TRANSFORMER</t>
    </r>
  </si>
  <si>
    <r>
      <rPr>
        <b/>
        <sz val="13"/>
        <color rgb="FFFF00FF"/>
        <rFont val="Times New Roman"/>
        <family val="1"/>
      </rPr>
      <t>Spare</t>
    </r>
    <r>
      <rPr>
        <sz val="13"/>
        <rFont val="Times New Roman"/>
        <family val="1"/>
      </rPr>
      <t xml:space="preserve"> Spider</t>
    </r>
  </si>
  <si>
    <r>
      <t xml:space="preserve">USED </t>
    </r>
    <r>
      <rPr>
        <b/>
        <sz val="13"/>
        <color rgb="FFFF00FF"/>
        <rFont val="Times New Roman"/>
        <family val="1"/>
      </rPr>
      <t>SPARE</t>
    </r>
    <r>
      <rPr>
        <sz val="13"/>
        <rFont val="Times New Roman"/>
        <family val="1"/>
      </rPr>
      <t xml:space="preserve"> BULL GEAR PROPEL (#01)</t>
    </r>
  </si>
  <si>
    <r>
      <t xml:space="preserve">USED </t>
    </r>
    <r>
      <rPr>
        <b/>
        <sz val="13"/>
        <color rgb="FFFF00FF"/>
        <rFont val="Times New Roman"/>
        <family val="1"/>
      </rPr>
      <t>SPARE</t>
    </r>
    <r>
      <rPr>
        <sz val="13"/>
        <rFont val="Times New Roman"/>
        <family val="1"/>
      </rPr>
      <t xml:space="preserve"> BULL GEAR PROPEL (#02)</t>
    </r>
  </si>
  <si>
    <t xml:space="preserve">NB : Les deux pièces intitulées " Back Leg" sont susceptibles de ne pas être transportés </t>
  </si>
  <si>
    <t>Z] Cab Support #16 bis</t>
  </si>
  <si>
    <r>
      <t>S02 -</t>
    </r>
    <r>
      <rPr>
        <b/>
        <sz val="13"/>
        <color rgb="FF000000"/>
        <rFont val="Times New Roman"/>
        <family val="1"/>
      </rPr>
      <t xml:space="preserve"> </t>
    </r>
    <r>
      <rPr>
        <b/>
        <sz val="13"/>
        <color rgb="FFCC3300"/>
        <rFont val="Times New Roman"/>
        <family val="1"/>
      </rPr>
      <t>11</t>
    </r>
  </si>
  <si>
    <t>Sites</t>
  </si>
  <si>
    <t>S02</t>
  </si>
  <si>
    <t>V2</t>
  </si>
  <si>
    <t>S01</t>
  </si>
  <si>
    <t>Revolving Frame # 4</t>
  </si>
  <si>
    <t>Revolving Frame # 15</t>
  </si>
  <si>
    <t>Revolving Frame # 7</t>
  </si>
  <si>
    <t>Revolving Frame # 1</t>
  </si>
  <si>
    <t>Revolving Frame # 8</t>
  </si>
  <si>
    <t>Revolving Frame Unit # 14</t>
  </si>
  <si>
    <t>Frame Unit # 10</t>
  </si>
  <si>
    <t>Revolving Frame # 13</t>
  </si>
  <si>
    <t>Revolving Frame # 9</t>
  </si>
  <si>
    <t>Panels Assembly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</si>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</sst>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rgb="FF0000FF"/>
      <name val="Times New Roman"/>
      <family val="1"/>
    </font>
    <font>
      <b/>
      <sz val="13"/>
      <color rgb="FFFF0000"/>
      <name val="Times New Roman"/>
      <family val="1"/>
    </font>
    <font>
      <b/>
      <sz val="13"/>
      <color theme="5" tint="-0.24997711111789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9900"/>
      <name val="Times New Roman"/>
      <family val="1"/>
    </font>
    <font>
      <sz val="13"/>
      <color rgb="FF000000"/>
      <name val="Times New Roman"/>
      <family val="1"/>
    </font>
    <font>
      <sz val="8"/>
      <name val="Aptos Narrow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26"/>
      <color theme="0" tint="-0.499984740745262"/>
      <name val="Times New Roman"/>
      <family val="1"/>
    </font>
    <font>
      <b/>
      <sz val="13"/>
      <color rgb="FFC00000"/>
      <name val="Times New Roman"/>
      <family val="1"/>
    </font>
    <font>
      <sz val="6"/>
      <color theme="0" tint="-0.499984740745262"/>
      <name val="Aptos Narrow"/>
      <family val="2"/>
      <scheme val="minor"/>
    </font>
    <font>
      <sz val="14"/>
      <color theme="0"/>
      <name val="Times New Roman"/>
      <family val="1"/>
    </font>
    <font>
      <b/>
      <sz val="13"/>
      <color rgb="FFCC3300"/>
      <name val="Times New Roman"/>
      <family val="1"/>
    </font>
    <font>
      <sz val="13"/>
      <color rgb="FFFF00FF"/>
      <name val="Times New Roman"/>
      <family val="1"/>
    </font>
    <font>
      <b/>
      <sz val="13"/>
      <name val="Times New Roman"/>
      <family val="1"/>
    </font>
    <font>
      <b/>
      <sz val="12"/>
      <color rgb="FF00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D1"/>
        <bgColor rgb="FF000000"/>
      </patternFill>
    </fill>
    <fill>
      <patternFill patternType="solid">
        <fgColor rgb="FFDDFFD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EFFA"/>
        <bgColor indexed="64"/>
      </patternFill>
    </fill>
    <fill>
      <patternFill patternType="solid">
        <fgColor rgb="FFFFFFE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5" fillId="0" borderId="0" xfId="0" applyNumberFormat="1" applyFont="1"/>
    <xf numFmtId="4" fontId="0" fillId="0" borderId="0" xfId="0" applyNumberFormat="1"/>
    <xf numFmtId="4" fontId="11" fillId="0" borderId="0" xfId="0" applyNumberFormat="1" applyFont="1"/>
    <xf numFmtId="3" fontId="8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0" fontId="14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vertical="center"/>
    </xf>
    <xf numFmtId="0" fontId="19" fillId="0" borderId="0" xfId="0" applyFont="1"/>
    <xf numFmtId="4" fontId="15" fillId="7" borderId="1" xfId="0" applyNumberFormat="1" applyFont="1" applyFill="1" applyBorder="1" applyAlignment="1">
      <alignment vertical="center"/>
    </xf>
    <xf numFmtId="3" fontId="15" fillId="7" borderId="1" xfId="0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1" fontId="15" fillId="6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4" fontId="15" fillId="0" borderId="3" xfId="0" applyNumberFormat="1" applyFont="1" applyBorder="1" applyAlignment="1">
      <alignment vertical="center"/>
    </xf>
    <xf numFmtId="4" fontId="15" fillId="0" borderId="2" xfId="0" applyNumberFormat="1" applyFont="1" applyBorder="1" applyAlignment="1">
      <alignment vertical="center"/>
    </xf>
    <xf numFmtId="4" fontId="15" fillId="0" borderId="4" xfId="0" applyNumberFormat="1" applyFont="1" applyBorder="1" applyAlignment="1">
      <alignment vertical="center"/>
    </xf>
    <xf numFmtId="4" fontId="6" fillId="0" borderId="1" xfId="0" applyNumberFormat="1" applyFont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4" fontId="12" fillId="0" borderId="1" xfId="0" applyNumberFormat="1" applyFont="1" applyBorder="1" applyAlignment="1">
      <alignment horizontal="right" vertical="center"/>
    </xf>
    <xf numFmtId="4" fontId="15" fillId="7" borderId="1" xfId="0" applyNumberFormat="1" applyFont="1" applyFill="1" applyBorder="1" applyAlignment="1">
      <alignment horizontal="right" vertical="center"/>
    </xf>
    <xf numFmtId="4" fontId="0" fillId="0" borderId="3" xfId="0" applyNumberFormat="1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/>
    </xf>
    <xf numFmtId="4" fontId="5" fillId="6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4" fontId="7" fillId="6" borderId="1" xfId="0" applyNumberFormat="1" applyFont="1" applyFill="1" applyBorder="1" applyAlignment="1">
      <alignment horizontal="right" vertical="center"/>
    </xf>
    <xf numFmtId="4" fontId="9" fillId="6" borderId="1" xfId="0" applyNumberFormat="1" applyFont="1" applyFill="1" applyBorder="1" applyAlignment="1">
      <alignment horizontal="right" vertical="center"/>
    </xf>
    <xf numFmtId="4" fontId="8" fillId="6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12" borderId="1" xfId="0" applyFont="1" applyFill="1" applyBorder="1" applyAlignment="1">
      <alignment horizontal="left" vertical="center"/>
    </xf>
    <xf numFmtId="2" fontId="26" fillId="0" borderId="1" xfId="0" applyNumberFormat="1" applyFont="1" applyBorder="1" applyAlignment="1">
      <alignment horizontal="right" vertical="center"/>
    </xf>
    <xf numFmtId="3" fontId="26" fillId="0" borderId="1" xfId="0" applyNumberFormat="1" applyFont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 vertical="center"/>
    </xf>
    <xf numFmtId="2" fontId="26" fillId="6" borderId="1" xfId="0" applyNumberFormat="1" applyFont="1" applyFill="1" applyBorder="1" applyAlignment="1">
      <alignment horizontal="right" vertical="center"/>
    </xf>
    <xf numFmtId="3" fontId="26" fillId="6" borderId="1" xfId="0" applyNumberFormat="1" applyFont="1" applyFill="1" applyBorder="1" applyAlignment="1">
      <alignment horizontal="right" vertical="center"/>
    </xf>
    <xf numFmtId="0" fontId="28" fillId="0" borderId="0" xfId="0" applyFont="1"/>
    <xf numFmtId="0" fontId="0" fillId="0" borderId="1" xfId="0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DDFFDD"/>
      <color rgb="FFFF00FF"/>
      <color rgb="FFCC3300"/>
      <color rgb="FF33CC33"/>
      <color rgb="FFFF3300"/>
      <color rgb="FFCCCC00"/>
      <color rgb="FFF7FFF7"/>
      <color rgb="FF00FF00"/>
      <color rgb="FFFF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A2DD-ABAE-4B83-8DED-57ADEA5A8A66}">
  <sheetPr>
    <tabColor rgb="FF00FF00"/>
    <pageSetUpPr fitToPage="1"/>
  </sheetPr>
  <dimension ref="A1:AE68"/>
  <sheetViews>
    <sheetView showGridLines="0" tabSelected="1" topLeftCell="A12" zoomScale="70" zoomScaleNormal="70" zoomScaleSheetLayoutView="40" workbookViewId="0">
      <selection activeCell="Q47" sqref="Q47"/>
    </sheetView>
  </sheetViews>
  <sheetFormatPr defaultColWidth="8.85546875" defaultRowHeight="15" x14ac:dyDescent="0.25"/>
  <cols>
    <col min="1" max="1" width="3.28515625" bestFit="1" customWidth="1"/>
    <col min="2" max="2" width="11" bestFit="1" customWidth="1"/>
    <col min="3" max="3" width="8" style="1" bestFit="1" customWidth="1"/>
    <col min="4" max="4" width="5.28515625" style="2" bestFit="1" customWidth="1"/>
    <col min="5" max="5" width="32.140625" style="3" bestFit="1" customWidth="1"/>
    <col min="6" max="6" width="12.85546875" bestFit="1" customWidth="1"/>
    <col min="7" max="7" width="13.7109375" bestFit="1" customWidth="1"/>
    <col min="8" max="8" width="13" bestFit="1" customWidth="1"/>
    <col min="9" max="9" width="16.140625" bestFit="1" customWidth="1"/>
    <col min="10" max="11" width="11.28515625" bestFit="1" customWidth="1"/>
    <col min="12" max="12" width="12.7109375" bestFit="1" customWidth="1"/>
    <col min="13" max="13" width="10.28515625" bestFit="1" customWidth="1"/>
    <col min="14" max="14" width="11.28515625" bestFit="1" customWidth="1"/>
    <col min="15" max="15" width="10.5703125" bestFit="1" customWidth="1"/>
    <col min="16" max="16" width="14" bestFit="1" customWidth="1"/>
    <col min="17" max="17" width="11.140625" customWidth="1"/>
  </cols>
  <sheetData>
    <row r="1" spans="1:18" x14ac:dyDescent="0.25">
      <c r="A1" s="24" t="s">
        <v>103</v>
      </c>
    </row>
    <row r="2" spans="1:18" ht="33" x14ac:dyDescent="0.25">
      <c r="B2" s="80" t="s">
        <v>101</v>
      </c>
      <c r="C2" s="80"/>
      <c r="D2" s="80"/>
      <c r="E2" s="80"/>
    </row>
    <row r="4" spans="1:18" ht="16.5" x14ac:dyDescent="0.25">
      <c r="B4" s="81" t="s">
        <v>102</v>
      </c>
      <c r="C4" s="81"/>
      <c r="D4" s="81"/>
    </row>
    <row r="6" spans="1:18" s="4" customFormat="1" ht="37.5" x14ac:dyDescent="0.25">
      <c r="B6" s="21" t="s">
        <v>53</v>
      </c>
      <c r="C6" s="28" t="s">
        <v>0</v>
      </c>
      <c r="D6" s="29" t="s">
        <v>1</v>
      </c>
      <c r="E6" s="30" t="s">
        <v>2</v>
      </c>
      <c r="F6" s="31" t="s">
        <v>3</v>
      </c>
      <c r="G6" s="31" t="s">
        <v>4</v>
      </c>
      <c r="H6" s="31" t="s">
        <v>5</v>
      </c>
      <c r="I6" s="31" t="s">
        <v>32</v>
      </c>
      <c r="J6" s="32" t="s">
        <v>31</v>
      </c>
      <c r="K6" s="33" t="s">
        <v>33</v>
      </c>
      <c r="L6" s="34" t="s">
        <v>6</v>
      </c>
      <c r="M6" s="34" t="s">
        <v>39</v>
      </c>
      <c r="N6" s="34" t="s">
        <v>40</v>
      </c>
      <c r="O6" s="34" t="s">
        <v>41</v>
      </c>
      <c r="P6" s="33" t="s">
        <v>42</v>
      </c>
      <c r="Q6" s="34" t="s">
        <v>198</v>
      </c>
    </row>
    <row r="7" spans="1:18" ht="16.5" x14ac:dyDescent="0.25">
      <c r="B7" s="47" t="s">
        <v>54</v>
      </c>
      <c r="C7" s="5" t="s">
        <v>104</v>
      </c>
      <c r="D7" s="22">
        <v>1</v>
      </c>
      <c r="E7" s="6" t="s">
        <v>25</v>
      </c>
      <c r="F7" s="8">
        <v>12.7</v>
      </c>
      <c r="G7" s="11">
        <v>4.2926000000000002</v>
      </c>
      <c r="H7" s="8">
        <v>2.4129999999999998</v>
      </c>
      <c r="I7" s="41">
        <f t="shared" ref="I7:I53" si="0">L7*0.4536</f>
        <v>78472.800000000003</v>
      </c>
      <c r="J7" s="9">
        <f t="shared" ref="J7:J53" si="1">I7/1000</f>
        <v>78.472800000000007</v>
      </c>
      <c r="K7" s="8">
        <f t="shared" ref="K7:K53" si="2">F7*G7*H7</f>
        <v>131.54715625999998</v>
      </c>
      <c r="L7" s="16">
        <v>173000</v>
      </c>
      <c r="M7" s="23">
        <f t="shared" ref="M7:M53" si="3">F7*39.37</f>
        <v>499.99899999999997</v>
      </c>
      <c r="N7" s="23">
        <f t="shared" ref="N7:N53" si="4">G7*39.37</f>
        <v>168.999662</v>
      </c>
      <c r="O7" s="23">
        <f t="shared" ref="O7:O53" si="5">H7*39.37</f>
        <v>94.999809999999982</v>
      </c>
      <c r="P7" s="23">
        <f t="shared" ref="P7:P53" si="6">M7*N7*O7/1728</f>
        <v>4645.5161082733375</v>
      </c>
      <c r="Q7" s="83">
        <v>28500</v>
      </c>
      <c r="R7" s="14"/>
    </row>
    <row r="8" spans="1:18" ht="16.5" x14ac:dyDescent="0.25">
      <c r="B8" s="47" t="s">
        <v>55</v>
      </c>
      <c r="C8" s="5" t="s">
        <v>104</v>
      </c>
      <c r="D8" s="22">
        <v>1</v>
      </c>
      <c r="E8" s="6" t="s">
        <v>19</v>
      </c>
      <c r="F8" s="8">
        <v>12.192</v>
      </c>
      <c r="G8" s="11">
        <v>4.3179999999999996</v>
      </c>
      <c r="H8" s="8">
        <v>1.397</v>
      </c>
      <c r="I8" s="41">
        <f t="shared" si="0"/>
        <v>47628</v>
      </c>
      <c r="J8" s="12">
        <f t="shared" si="1"/>
        <v>47.628</v>
      </c>
      <c r="K8" s="8">
        <f t="shared" si="2"/>
        <v>73.545143232000001</v>
      </c>
      <c r="L8" s="18">
        <v>105000</v>
      </c>
      <c r="M8" s="23">
        <f t="shared" si="3"/>
        <v>479.99903999999998</v>
      </c>
      <c r="N8" s="23">
        <f t="shared" si="4"/>
        <v>169.99965999999998</v>
      </c>
      <c r="O8" s="23">
        <f t="shared" si="5"/>
        <v>54.999890000000001</v>
      </c>
      <c r="P8" s="23">
        <f t="shared" si="6"/>
        <v>2597.206638920055</v>
      </c>
      <c r="Q8" s="83">
        <v>6800</v>
      </c>
      <c r="R8" s="14"/>
    </row>
    <row r="9" spans="1:18" ht="16.5" x14ac:dyDescent="0.25">
      <c r="B9" s="47" t="s">
        <v>56</v>
      </c>
      <c r="C9" s="5" t="s">
        <v>104</v>
      </c>
      <c r="D9" s="22">
        <v>1</v>
      </c>
      <c r="E9" s="6" t="s">
        <v>18</v>
      </c>
      <c r="F9" s="8">
        <v>12.192</v>
      </c>
      <c r="G9" s="11">
        <v>4.3179999999999996</v>
      </c>
      <c r="H9" s="8">
        <v>1.397</v>
      </c>
      <c r="I9" s="41">
        <f t="shared" si="0"/>
        <v>47628</v>
      </c>
      <c r="J9" s="12">
        <f t="shared" si="1"/>
        <v>47.628</v>
      </c>
      <c r="K9" s="8">
        <f t="shared" si="2"/>
        <v>73.545143232000001</v>
      </c>
      <c r="L9" s="18">
        <v>105000</v>
      </c>
      <c r="M9" s="23">
        <f t="shared" si="3"/>
        <v>479.99903999999998</v>
      </c>
      <c r="N9" s="23">
        <f t="shared" si="4"/>
        <v>169.99965999999998</v>
      </c>
      <c r="O9" s="23">
        <f t="shared" si="5"/>
        <v>54.999890000000001</v>
      </c>
      <c r="P9" s="23">
        <f t="shared" si="6"/>
        <v>2597.206638920055</v>
      </c>
      <c r="Q9" s="83">
        <v>6800</v>
      </c>
      <c r="R9" s="14"/>
    </row>
    <row r="10" spans="1:18" ht="16.5" x14ac:dyDescent="0.25">
      <c r="B10" s="47" t="s">
        <v>57</v>
      </c>
      <c r="C10" s="5" t="s">
        <v>104</v>
      </c>
      <c r="D10" s="22">
        <v>1</v>
      </c>
      <c r="E10" s="6" t="s">
        <v>15</v>
      </c>
      <c r="F10" s="8">
        <v>9.9060000000000006</v>
      </c>
      <c r="G10" s="11">
        <v>4.0132000000000003</v>
      </c>
      <c r="H10" s="8">
        <v>1.524</v>
      </c>
      <c r="I10" s="41">
        <f t="shared" si="0"/>
        <v>43999.199999999997</v>
      </c>
      <c r="J10" s="12">
        <f t="shared" si="1"/>
        <v>43.999199999999995</v>
      </c>
      <c r="K10" s="8">
        <f t="shared" si="2"/>
        <v>60.586253020800001</v>
      </c>
      <c r="L10" s="18">
        <v>97000</v>
      </c>
      <c r="M10" s="23">
        <f t="shared" si="3"/>
        <v>389.99921999999998</v>
      </c>
      <c r="N10" s="23">
        <f t="shared" si="4"/>
        <v>157.999684</v>
      </c>
      <c r="O10" s="23">
        <f t="shared" si="5"/>
        <v>59.999879999999997</v>
      </c>
      <c r="P10" s="23">
        <f t="shared" si="6"/>
        <v>2139.5704958590081</v>
      </c>
      <c r="Q10" s="83">
        <v>4850</v>
      </c>
      <c r="R10" s="14"/>
    </row>
    <row r="11" spans="1:18" ht="16.5" x14ac:dyDescent="0.25">
      <c r="B11" s="47" t="s">
        <v>58</v>
      </c>
      <c r="C11" s="5" t="s">
        <v>104</v>
      </c>
      <c r="D11" s="22">
        <v>1</v>
      </c>
      <c r="E11" s="6" t="s">
        <v>8</v>
      </c>
      <c r="F11" s="8">
        <f>9.8298</f>
        <v>9.8298000000000005</v>
      </c>
      <c r="G11" s="11">
        <f>4.4704</f>
        <v>4.4703999999999997</v>
      </c>
      <c r="H11" s="8">
        <f>1.4732</f>
        <v>1.4732000000000001</v>
      </c>
      <c r="I11" s="41">
        <f t="shared" si="0"/>
        <v>44452.800000000003</v>
      </c>
      <c r="J11" s="12">
        <f t="shared" si="1"/>
        <v>44.452800000000003</v>
      </c>
      <c r="K11" s="8">
        <f t="shared" si="2"/>
        <v>64.737030783744004</v>
      </c>
      <c r="L11" s="18">
        <v>98000</v>
      </c>
      <c r="M11" s="23">
        <f t="shared" si="3"/>
        <v>386.99922600000002</v>
      </c>
      <c r="N11" s="23">
        <f t="shared" si="4"/>
        <v>175.99964799999998</v>
      </c>
      <c r="O11" s="23">
        <f t="shared" si="5"/>
        <v>57.999884000000002</v>
      </c>
      <c r="P11" s="23">
        <f t="shared" si="6"/>
        <v>2286.1529496941002</v>
      </c>
      <c r="Q11" s="83">
        <v>5650</v>
      </c>
      <c r="R11" s="14"/>
    </row>
    <row r="12" spans="1:18" ht="16.5" x14ac:dyDescent="0.25">
      <c r="B12" s="47" t="s">
        <v>59</v>
      </c>
      <c r="C12" s="5" t="s">
        <v>104</v>
      </c>
      <c r="D12" s="22">
        <v>1</v>
      </c>
      <c r="E12" s="6" t="s">
        <v>10</v>
      </c>
      <c r="F12" s="8">
        <v>6.35</v>
      </c>
      <c r="G12" s="9">
        <v>4.7497999999999996</v>
      </c>
      <c r="H12" s="8">
        <v>1.5494000000000001</v>
      </c>
      <c r="I12" s="41">
        <f t="shared" si="0"/>
        <v>43999.199999999997</v>
      </c>
      <c r="J12" s="12">
        <f t="shared" si="1"/>
        <v>43.999199999999995</v>
      </c>
      <c r="K12" s="8">
        <f t="shared" si="2"/>
        <v>46.731809761999997</v>
      </c>
      <c r="L12" s="18">
        <v>97000</v>
      </c>
      <c r="M12" s="23">
        <f t="shared" si="3"/>
        <v>249.99949999999998</v>
      </c>
      <c r="N12" s="23">
        <f t="shared" si="4"/>
        <v>186.99962599999998</v>
      </c>
      <c r="O12" s="23">
        <f t="shared" si="5"/>
        <v>60.999878000000002</v>
      </c>
      <c r="P12" s="23">
        <f t="shared" si="6"/>
        <v>1650.3083851471183</v>
      </c>
      <c r="Q12" s="83">
        <v>6800</v>
      </c>
      <c r="R12" s="14"/>
    </row>
    <row r="13" spans="1:18" ht="16.5" x14ac:dyDescent="0.25">
      <c r="B13" s="47" t="s">
        <v>60</v>
      </c>
      <c r="C13" s="5" t="s">
        <v>104</v>
      </c>
      <c r="D13" s="22">
        <v>1</v>
      </c>
      <c r="E13" s="6" t="s">
        <v>9</v>
      </c>
      <c r="F13" s="8">
        <f>9.8806</f>
        <v>9.8805999999999994</v>
      </c>
      <c r="G13" s="11">
        <v>4.0640000000000001</v>
      </c>
      <c r="H13" s="8">
        <v>1.524</v>
      </c>
      <c r="I13" s="41">
        <f t="shared" si="0"/>
        <v>44226</v>
      </c>
      <c r="J13" s="12">
        <f t="shared" si="1"/>
        <v>44.225999999999999</v>
      </c>
      <c r="K13" s="8">
        <f t="shared" si="2"/>
        <v>61.1958518016</v>
      </c>
      <c r="L13" s="18">
        <v>97500</v>
      </c>
      <c r="M13" s="23">
        <f t="shared" si="3"/>
        <v>388.99922199999997</v>
      </c>
      <c r="N13" s="23">
        <f t="shared" si="4"/>
        <v>159.99967999999998</v>
      </c>
      <c r="O13" s="23">
        <f t="shared" si="5"/>
        <v>59.999879999999997</v>
      </c>
      <c r="P13" s="23">
        <f t="shared" si="6"/>
        <v>2161.0981444703771</v>
      </c>
      <c r="Q13" s="83">
        <v>6450</v>
      </c>
      <c r="R13" s="14"/>
    </row>
    <row r="14" spans="1:18" ht="16.5" x14ac:dyDescent="0.25">
      <c r="B14" s="47" t="s">
        <v>61</v>
      </c>
      <c r="C14" s="5" t="s">
        <v>104</v>
      </c>
      <c r="D14" s="22">
        <v>1</v>
      </c>
      <c r="E14" s="6" t="s">
        <v>12</v>
      </c>
      <c r="F14" s="8">
        <v>9.8298000000000005</v>
      </c>
      <c r="G14" s="11">
        <v>4.0640000000000001</v>
      </c>
      <c r="H14" s="8">
        <v>1.6002000000000001</v>
      </c>
      <c r="I14" s="41">
        <f t="shared" si="0"/>
        <v>44226</v>
      </c>
      <c r="J14" s="12">
        <f t="shared" si="1"/>
        <v>44.225999999999999</v>
      </c>
      <c r="K14" s="8">
        <f t="shared" si="2"/>
        <v>63.925281181440006</v>
      </c>
      <c r="L14" s="18">
        <v>97500</v>
      </c>
      <c r="M14" s="23">
        <f t="shared" si="3"/>
        <v>386.99922600000002</v>
      </c>
      <c r="N14" s="23">
        <f t="shared" si="4"/>
        <v>159.99967999999998</v>
      </c>
      <c r="O14" s="23">
        <f t="shared" si="5"/>
        <v>62.999873999999998</v>
      </c>
      <c r="P14" s="23">
        <f t="shared" si="6"/>
        <v>2257.48645502709</v>
      </c>
      <c r="Q14" s="83">
        <v>4850</v>
      </c>
      <c r="R14" s="14"/>
    </row>
    <row r="15" spans="1:18" ht="16.5" x14ac:dyDescent="0.25">
      <c r="B15" s="47" t="s">
        <v>62</v>
      </c>
      <c r="C15" s="5" t="s">
        <v>104</v>
      </c>
      <c r="D15" s="22">
        <v>1</v>
      </c>
      <c r="E15" s="6" t="s">
        <v>11</v>
      </c>
      <c r="F15" s="8">
        <v>10.515599999999999</v>
      </c>
      <c r="G15" s="11">
        <v>4.4703999999999997</v>
      </c>
      <c r="H15" s="8">
        <v>1.397</v>
      </c>
      <c r="I15" s="41">
        <f t="shared" si="0"/>
        <v>45133.2</v>
      </c>
      <c r="J15" s="12">
        <f t="shared" si="1"/>
        <v>45.133199999999995</v>
      </c>
      <c r="K15" s="8">
        <f t="shared" si="2"/>
        <v>65.67148672127999</v>
      </c>
      <c r="L15" s="18">
        <v>99500</v>
      </c>
      <c r="M15" s="23">
        <f t="shared" si="3"/>
        <v>413.99917199999993</v>
      </c>
      <c r="N15" s="23">
        <f t="shared" si="4"/>
        <v>175.99964799999998</v>
      </c>
      <c r="O15" s="23">
        <f t="shared" si="5"/>
        <v>54.999890000000001</v>
      </c>
      <c r="P15" s="23">
        <f t="shared" si="6"/>
        <v>2319.1527516944961</v>
      </c>
      <c r="Q15" s="83">
        <v>6850</v>
      </c>
      <c r="R15" s="14"/>
    </row>
    <row r="16" spans="1:18" ht="16.5" x14ac:dyDescent="0.25">
      <c r="B16" s="47" t="s">
        <v>63</v>
      </c>
      <c r="C16" s="5" t="s">
        <v>104</v>
      </c>
      <c r="D16" s="22">
        <v>1</v>
      </c>
      <c r="E16" s="6" t="s">
        <v>172</v>
      </c>
      <c r="F16" s="8">
        <v>5.8928000000000003</v>
      </c>
      <c r="G16" s="8">
        <v>1.0668</v>
      </c>
      <c r="H16" s="8">
        <v>0.71120000000000005</v>
      </c>
      <c r="I16" s="41">
        <f t="shared" si="0"/>
        <v>3900.96</v>
      </c>
      <c r="J16" s="8">
        <f t="shared" si="1"/>
        <v>3.90096</v>
      </c>
      <c r="K16" s="8">
        <f t="shared" si="2"/>
        <v>4.4709154452480009</v>
      </c>
      <c r="L16" s="7">
        <v>8600</v>
      </c>
      <c r="M16" s="23">
        <f t="shared" si="3"/>
        <v>231.99953600000001</v>
      </c>
      <c r="N16" s="23">
        <f t="shared" si="4"/>
        <v>41.999915999999999</v>
      </c>
      <c r="O16" s="23">
        <f t="shared" si="5"/>
        <v>27.999943999999999</v>
      </c>
      <c r="P16" s="23">
        <f t="shared" si="6"/>
        <v>157.8879415574502</v>
      </c>
      <c r="Q16" s="83"/>
      <c r="R16" s="14"/>
    </row>
    <row r="17" spans="2:18" ht="16.5" x14ac:dyDescent="0.25">
      <c r="B17" s="47" t="s">
        <v>64</v>
      </c>
      <c r="C17" s="5" t="s">
        <v>104</v>
      </c>
      <c r="D17" s="22">
        <v>1</v>
      </c>
      <c r="E17" s="61" t="s">
        <v>28</v>
      </c>
      <c r="F17" s="8">
        <v>6.06</v>
      </c>
      <c r="G17" s="8">
        <v>2.76</v>
      </c>
      <c r="H17" s="10">
        <v>2.92</v>
      </c>
      <c r="I17" s="41">
        <f t="shared" si="0"/>
        <v>7711.2</v>
      </c>
      <c r="J17" s="8">
        <f t="shared" si="1"/>
        <v>7.7111999999999998</v>
      </c>
      <c r="K17" s="8">
        <f t="shared" si="2"/>
        <v>48.838751999999985</v>
      </c>
      <c r="L17" s="7">
        <v>17000</v>
      </c>
      <c r="M17" s="23">
        <f t="shared" si="3"/>
        <v>238.58219999999997</v>
      </c>
      <c r="N17" s="23">
        <f t="shared" si="4"/>
        <v>108.66119999999998</v>
      </c>
      <c r="O17" s="23">
        <f t="shared" si="5"/>
        <v>114.96039999999999</v>
      </c>
      <c r="P17" s="23">
        <f t="shared" si="6"/>
        <v>1724.7139016486308</v>
      </c>
      <c r="Q17" s="83"/>
      <c r="R17" s="14"/>
    </row>
    <row r="18" spans="2:18" ht="16.5" x14ac:dyDescent="0.25">
      <c r="B18" s="47" t="s">
        <v>65</v>
      </c>
      <c r="C18" s="5" t="s">
        <v>104</v>
      </c>
      <c r="D18" s="22">
        <v>1</v>
      </c>
      <c r="E18" s="6" t="s">
        <v>7</v>
      </c>
      <c r="F18" s="8">
        <v>1.3715999999999999</v>
      </c>
      <c r="G18" s="8">
        <v>1.3715999999999999</v>
      </c>
      <c r="H18" s="8">
        <v>2.5908000000000002</v>
      </c>
      <c r="I18" s="41">
        <f t="shared" si="0"/>
        <v>3628.8</v>
      </c>
      <c r="J18" s="8">
        <f t="shared" si="1"/>
        <v>3.6288</v>
      </c>
      <c r="K18" s="8">
        <f t="shared" si="2"/>
        <v>4.8740372196479997</v>
      </c>
      <c r="L18" s="7">
        <v>8000</v>
      </c>
      <c r="M18" s="23">
        <f t="shared" si="3"/>
        <v>53.999891999999996</v>
      </c>
      <c r="N18" s="23">
        <f t="shared" si="4"/>
        <v>53.999891999999996</v>
      </c>
      <c r="O18" s="23">
        <f t="shared" si="5"/>
        <v>101.999796</v>
      </c>
      <c r="P18" s="23">
        <f t="shared" si="6"/>
        <v>172.12396725206548</v>
      </c>
      <c r="Q18" s="83"/>
      <c r="R18" s="14"/>
    </row>
    <row r="19" spans="2:18" ht="16.5" x14ac:dyDescent="0.25">
      <c r="B19" s="47" t="s">
        <v>66</v>
      </c>
      <c r="C19" s="5" t="s">
        <v>104</v>
      </c>
      <c r="D19" s="22">
        <v>1</v>
      </c>
      <c r="E19" s="6" t="s">
        <v>24</v>
      </c>
      <c r="F19" s="8">
        <v>8.1280000000000001</v>
      </c>
      <c r="G19" s="8">
        <v>3.1496</v>
      </c>
      <c r="H19" s="8">
        <v>0.4572</v>
      </c>
      <c r="I19" s="41">
        <f t="shared" si="0"/>
        <v>1360.8</v>
      </c>
      <c r="J19" s="8">
        <f t="shared" si="1"/>
        <v>1.3608</v>
      </c>
      <c r="K19" s="8">
        <f t="shared" si="2"/>
        <v>11.70429659136</v>
      </c>
      <c r="L19" s="7">
        <v>3000</v>
      </c>
      <c r="M19" s="23">
        <f t="shared" si="3"/>
        <v>319.99935999999997</v>
      </c>
      <c r="N19" s="23">
        <f t="shared" si="4"/>
        <v>123.99975199999999</v>
      </c>
      <c r="O19" s="23">
        <f t="shared" si="5"/>
        <v>17.999963999999999</v>
      </c>
      <c r="P19" s="23">
        <f t="shared" si="6"/>
        <v>413.3308533382932</v>
      </c>
      <c r="Q19" s="83"/>
      <c r="R19" s="14"/>
    </row>
    <row r="20" spans="2:18" ht="16.5" x14ac:dyDescent="0.25">
      <c r="B20" s="47" t="s">
        <v>67</v>
      </c>
      <c r="C20" s="5" t="s">
        <v>104</v>
      </c>
      <c r="D20" s="22">
        <v>1</v>
      </c>
      <c r="E20" s="6" t="s">
        <v>170</v>
      </c>
      <c r="F20" s="8">
        <v>5.6387999999999998</v>
      </c>
      <c r="G20" s="8">
        <v>3.1242000000000001</v>
      </c>
      <c r="H20" s="8">
        <v>0.30480000000000002</v>
      </c>
      <c r="I20" s="41">
        <f t="shared" si="0"/>
        <v>453.6</v>
      </c>
      <c r="J20" s="8">
        <f t="shared" si="1"/>
        <v>0.4536</v>
      </c>
      <c r="K20" s="8">
        <f t="shared" si="2"/>
        <v>5.3695820350080004</v>
      </c>
      <c r="L20" s="7">
        <v>1000</v>
      </c>
      <c r="M20" s="23">
        <f t="shared" si="3"/>
        <v>221.99955599999998</v>
      </c>
      <c r="N20" s="23">
        <f t="shared" si="4"/>
        <v>122.999754</v>
      </c>
      <c r="O20" s="23">
        <f t="shared" si="5"/>
        <v>11.999976</v>
      </c>
      <c r="P20" s="23">
        <f t="shared" si="6"/>
        <v>189.62386225227547</v>
      </c>
      <c r="Q20" s="83"/>
      <c r="R20" s="14"/>
    </row>
    <row r="21" spans="2:18" ht="16.5" x14ac:dyDescent="0.25">
      <c r="B21" s="47" t="s">
        <v>68</v>
      </c>
      <c r="C21" s="5" t="s">
        <v>104</v>
      </c>
      <c r="D21" s="22">
        <v>1</v>
      </c>
      <c r="E21" s="6" t="s">
        <v>171</v>
      </c>
      <c r="F21" s="8">
        <v>5.3339999999999996</v>
      </c>
      <c r="G21" s="8">
        <v>3.1496</v>
      </c>
      <c r="H21" s="8">
        <v>0.30480000000000002</v>
      </c>
      <c r="I21" s="41">
        <f t="shared" si="0"/>
        <v>453.6</v>
      </c>
      <c r="J21" s="8">
        <f t="shared" si="1"/>
        <v>0.4536</v>
      </c>
      <c r="K21" s="8">
        <f t="shared" si="2"/>
        <v>5.1206297587199998</v>
      </c>
      <c r="L21" s="7">
        <v>1000</v>
      </c>
      <c r="M21" s="23">
        <f t="shared" si="3"/>
        <v>209.99957999999998</v>
      </c>
      <c r="N21" s="23">
        <f t="shared" si="4"/>
        <v>123.99975199999999</v>
      </c>
      <c r="O21" s="23">
        <f t="shared" si="5"/>
        <v>11.999976</v>
      </c>
      <c r="P21" s="23">
        <f t="shared" si="6"/>
        <v>180.83224833550332</v>
      </c>
      <c r="Q21" s="83"/>
      <c r="R21" s="14"/>
    </row>
    <row r="22" spans="2:18" ht="16.5" x14ac:dyDescent="0.25">
      <c r="B22" s="47" t="s">
        <v>69</v>
      </c>
      <c r="C22" s="5" t="s">
        <v>104</v>
      </c>
      <c r="D22" s="5">
        <v>1</v>
      </c>
      <c r="E22" s="6" t="s">
        <v>27</v>
      </c>
      <c r="F22" s="8">
        <v>2.5</v>
      </c>
      <c r="G22" s="8">
        <v>2.1</v>
      </c>
      <c r="H22" s="8">
        <v>2.5</v>
      </c>
      <c r="I22" s="41">
        <f t="shared" si="0"/>
        <v>1995.84</v>
      </c>
      <c r="J22" s="8">
        <f t="shared" si="1"/>
        <v>1.9958399999999998</v>
      </c>
      <c r="K22" s="8">
        <f t="shared" si="2"/>
        <v>13.125</v>
      </c>
      <c r="L22" s="7">
        <f>4400</f>
        <v>4400</v>
      </c>
      <c r="M22" s="23">
        <f t="shared" si="3"/>
        <v>98.424999999999997</v>
      </c>
      <c r="N22" s="23">
        <f t="shared" si="4"/>
        <v>82.676999999999992</v>
      </c>
      <c r="O22" s="23">
        <f t="shared" si="5"/>
        <v>98.424999999999997</v>
      </c>
      <c r="P22" s="23">
        <f t="shared" si="6"/>
        <v>463.50221969509545</v>
      </c>
      <c r="Q22" s="83"/>
      <c r="R22" s="14"/>
    </row>
    <row r="23" spans="2:18" ht="16.5" x14ac:dyDescent="0.25">
      <c r="B23" s="47" t="s">
        <v>70</v>
      </c>
      <c r="C23" s="5" t="s">
        <v>104</v>
      </c>
      <c r="D23" s="22">
        <v>1</v>
      </c>
      <c r="E23" s="6" t="s">
        <v>22</v>
      </c>
      <c r="F23" s="8">
        <v>2.4891999999999999</v>
      </c>
      <c r="G23" s="8">
        <v>1.905</v>
      </c>
      <c r="H23" s="8">
        <v>0.83819999999999995</v>
      </c>
      <c r="I23" s="41">
        <f t="shared" si="0"/>
        <v>4989.6000000000004</v>
      </c>
      <c r="J23" s="8">
        <f t="shared" si="1"/>
        <v>4.9896000000000003</v>
      </c>
      <c r="K23" s="8">
        <f t="shared" si="2"/>
        <v>3.9746823731999994</v>
      </c>
      <c r="L23" s="7">
        <v>11000</v>
      </c>
      <c r="M23" s="23">
        <f t="shared" si="3"/>
        <v>97.999803999999983</v>
      </c>
      <c r="N23" s="23">
        <f t="shared" si="4"/>
        <v>74.999849999999995</v>
      </c>
      <c r="O23" s="23">
        <f t="shared" si="5"/>
        <v>32.999933999999996</v>
      </c>
      <c r="P23" s="23">
        <f t="shared" si="6"/>
        <v>140.36374114751766</v>
      </c>
      <c r="Q23" s="83"/>
      <c r="R23" s="14"/>
    </row>
    <row r="24" spans="2:18" ht="16.5" x14ac:dyDescent="0.25">
      <c r="B24" s="47" t="s">
        <v>71</v>
      </c>
      <c r="C24" s="5" t="s">
        <v>104</v>
      </c>
      <c r="D24" s="22">
        <v>1</v>
      </c>
      <c r="E24" s="6" t="s">
        <v>21</v>
      </c>
      <c r="F24" s="8">
        <v>5.7911999999999999</v>
      </c>
      <c r="G24" s="8">
        <v>1.0668</v>
      </c>
      <c r="H24" s="8">
        <v>0.33019999999999999</v>
      </c>
      <c r="I24" s="41">
        <f t="shared" si="0"/>
        <v>4989.6000000000004</v>
      </c>
      <c r="J24" s="8">
        <f t="shared" si="1"/>
        <v>4.9896000000000003</v>
      </c>
      <c r="K24" s="8">
        <f t="shared" si="2"/>
        <v>2.0399928232320002</v>
      </c>
      <c r="L24" s="7">
        <v>11000</v>
      </c>
      <c r="M24" s="23">
        <f t="shared" si="3"/>
        <v>227.99954399999999</v>
      </c>
      <c r="N24" s="23">
        <f t="shared" si="4"/>
        <v>41.999915999999999</v>
      </c>
      <c r="O24" s="23">
        <f t="shared" si="5"/>
        <v>12.999973999999998</v>
      </c>
      <c r="P24" s="23">
        <f t="shared" si="6"/>
        <v>72.041234417531143</v>
      </c>
      <c r="Q24" s="83"/>
      <c r="R24" s="14"/>
    </row>
    <row r="25" spans="2:18" ht="16.5" x14ac:dyDescent="0.25">
      <c r="B25" s="47" t="s">
        <v>72</v>
      </c>
      <c r="C25" s="5" t="s">
        <v>104</v>
      </c>
      <c r="D25" s="22">
        <v>1</v>
      </c>
      <c r="E25" s="61" t="s">
        <v>37</v>
      </c>
      <c r="F25" s="11">
        <v>14.94</v>
      </c>
      <c r="G25" s="8">
        <v>3.45</v>
      </c>
      <c r="H25" s="11">
        <v>3.57</v>
      </c>
      <c r="I25" s="41">
        <f t="shared" si="0"/>
        <v>63504</v>
      </c>
      <c r="J25" s="11">
        <f t="shared" si="1"/>
        <v>63.503999999999998</v>
      </c>
      <c r="K25" s="8">
        <f t="shared" si="2"/>
        <v>184.00851</v>
      </c>
      <c r="L25" s="17">
        <v>140000</v>
      </c>
      <c r="M25" s="23">
        <f t="shared" si="3"/>
        <v>588.18779999999992</v>
      </c>
      <c r="N25" s="23">
        <f t="shared" si="4"/>
        <v>135.82650000000001</v>
      </c>
      <c r="O25" s="23">
        <f t="shared" si="5"/>
        <v>140.55089999999998</v>
      </c>
      <c r="P25" s="23">
        <f t="shared" si="6"/>
        <v>6498.1602154504508</v>
      </c>
      <c r="Q25" s="83">
        <v>12850</v>
      </c>
      <c r="R25" s="14"/>
    </row>
    <row r="26" spans="2:18" ht="16.5" x14ac:dyDescent="0.25">
      <c r="B26" s="47" t="s">
        <v>73</v>
      </c>
      <c r="C26" s="5" t="s">
        <v>104</v>
      </c>
      <c r="D26" s="22">
        <v>1</v>
      </c>
      <c r="E26" s="6" t="s">
        <v>23</v>
      </c>
      <c r="F26" s="8">
        <v>5.3593999999999999</v>
      </c>
      <c r="G26" s="8">
        <v>3.3273999999999999</v>
      </c>
      <c r="H26" s="8">
        <v>0.73660000000000003</v>
      </c>
      <c r="I26" s="41">
        <f t="shared" si="0"/>
        <v>2268</v>
      </c>
      <c r="J26" s="8">
        <f t="shared" si="1"/>
        <v>2.2679999999999998</v>
      </c>
      <c r="K26" s="8">
        <f t="shared" si="2"/>
        <v>13.135690244696001</v>
      </c>
      <c r="L26" s="7">
        <v>5000</v>
      </c>
      <c r="M26" s="23">
        <f t="shared" si="3"/>
        <v>210.99957799999999</v>
      </c>
      <c r="N26" s="23">
        <f t="shared" si="4"/>
        <v>130.99973799999998</v>
      </c>
      <c r="O26" s="23">
        <f t="shared" si="5"/>
        <v>28.999942000000001</v>
      </c>
      <c r="P26" s="23">
        <f t="shared" si="6"/>
        <v>463.87973985857576</v>
      </c>
      <c r="Q26" s="83"/>
      <c r="R26" s="14"/>
    </row>
    <row r="27" spans="2:18" ht="16.5" x14ac:dyDescent="0.25">
      <c r="B27" s="47" t="s">
        <v>74</v>
      </c>
      <c r="C27" s="5" t="s">
        <v>104</v>
      </c>
      <c r="D27" s="5">
        <v>1</v>
      </c>
      <c r="E27" s="6" t="s">
        <v>166</v>
      </c>
      <c r="F27" s="8">
        <v>9.6519999999999992</v>
      </c>
      <c r="G27" s="12">
        <v>3.7</v>
      </c>
      <c r="H27" s="8">
        <v>2.3949999999999996</v>
      </c>
      <c r="I27" s="41">
        <f t="shared" si="0"/>
        <v>7257.6</v>
      </c>
      <c r="J27" s="8">
        <f t="shared" si="1"/>
        <v>7.2576000000000001</v>
      </c>
      <c r="K27" s="8">
        <f t="shared" si="2"/>
        <v>85.531197999999989</v>
      </c>
      <c r="L27" s="7">
        <v>16000</v>
      </c>
      <c r="M27" s="23">
        <f t="shared" si="3"/>
        <v>379.99923999999993</v>
      </c>
      <c r="N27" s="23">
        <f t="shared" si="4"/>
        <v>145.66900000000001</v>
      </c>
      <c r="O27" s="23">
        <f t="shared" si="5"/>
        <v>94.291149999999973</v>
      </c>
      <c r="P27" s="23">
        <f t="shared" si="6"/>
        <v>3020.4876286613867</v>
      </c>
      <c r="Q27" s="83"/>
      <c r="R27" s="14"/>
    </row>
    <row r="28" spans="2:18" ht="16.5" x14ac:dyDescent="0.25">
      <c r="B28" s="47" t="s">
        <v>75</v>
      </c>
      <c r="C28" s="5" t="s">
        <v>104</v>
      </c>
      <c r="D28" s="5">
        <v>1</v>
      </c>
      <c r="E28" s="6" t="s">
        <v>167</v>
      </c>
      <c r="F28" s="8">
        <v>8.2200000000000006</v>
      </c>
      <c r="G28" s="12">
        <v>3.7</v>
      </c>
      <c r="H28" s="8">
        <v>2.4299999999999997</v>
      </c>
      <c r="I28" s="41">
        <f t="shared" si="0"/>
        <v>7257.6</v>
      </c>
      <c r="J28" s="8">
        <f t="shared" si="1"/>
        <v>7.2576000000000001</v>
      </c>
      <c r="K28" s="8">
        <f t="shared" si="2"/>
        <v>73.906019999999998</v>
      </c>
      <c r="L28" s="7">
        <v>16000</v>
      </c>
      <c r="M28" s="23">
        <f t="shared" si="3"/>
        <v>323.62139999999999</v>
      </c>
      <c r="N28" s="23">
        <f t="shared" si="4"/>
        <v>145.66900000000001</v>
      </c>
      <c r="O28" s="23">
        <f t="shared" si="5"/>
        <v>95.669099999999986</v>
      </c>
      <c r="P28" s="23">
        <f t="shared" si="6"/>
        <v>2609.9508052441993</v>
      </c>
      <c r="Q28" s="83"/>
      <c r="R28" s="14"/>
    </row>
    <row r="29" spans="2:18" ht="16.5" x14ac:dyDescent="0.25">
      <c r="B29" s="47" t="s">
        <v>76</v>
      </c>
      <c r="C29" s="5" t="s">
        <v>104</v>
      </c>
      <c r="D29" s="5">
        <v>1</v>
      </c>
      <c r="E29" s="61" t="s">
        <v>168</v>
      </c>
      <c r="F29" s="8">
        <v>6.0198</v>
      </c>
      <c r="G29" s="12">
        <v>3.7</v>
      </c>
      <c r="H29" s="8">
        <v>2.4299999999999997</v>
      </c>
      <c r="I29" s="41">
        <f t="shared" si="0"/>
        <v>7257.6</v>
      </c>
      <c r="J29" s="8">
        <f t="shared" si="1"/>
        <v>7.2576000000000001</v>
      </c>
      <c r="K29" s="8">
        <f t="shared" si="2"/>
        <v>54.124021799999994</v>
      </c>
      <c r="L29" s="7">
        <v>16000</v>
      </c>
      <c r="M29" s="23">
        <f t="shared" si="3"/>
        <v>236.99952599999997</v>
      </c>
      <c r="N29" s="23">
        <f t="shared" si="4"/>
        <v>145.66900000000001</v>
      </c>
      <c r="O29" s="23">
        <f t="shared" si="5"/>
        <v>95.669099999999986</v>
      </c>
      <c r="P29" s="23">
        <f t="shared" si="6"/>
        <v>1911.3603232857702</v>
      </c>
      <c r="Q29" s="83"/>
      <c r="R29" s="14"/>
    </row>
    <row r="30" spans="2:18" ht="16.5" x14ac:dyDescent="0.25">
      <c r="B30" s="47" t="s">
        <v>77</v>
      </c>
      <c r="C30" s="5" t="s">
        <v>104</v>
      </c>
      <c r="D30" s="5">
        <v>1</v>
      </c>
      <c r="E30" s="61" t="s">
        <v>169</v>
      </c>
      <c r="F30" s="8">
        <v>5.6896000000000004</v>
      </c>
      <c r="G30" s="8">
        <v>3.22</v>
      </c>
      <c r="H30" s="8">
        <v>2.1</v>
      </c>
      <c r="I30" s="41">
        <f t="shared" si="0"/>
        <v>7257.6</v>
      </c>
      <c r="J30" s="8">
        <f t="shared" si="1"/>
        <v>7.2576000000000001</v>
      </c>
      <c r="K30" s="8">
        <f t="shared" si="2"/>
        <v>38.473075200000004</v>
      </c>
      <c r="L30" s="7">
        <v>16000</v>
      </c>
      <c r="M30" s="23">
        <f t="shared" si="3"/>
        <v>223.99955199999999</v>
      </c>
      <c r="N30" s="23">
        <f t="shared" si="4"/>
        <v>126.7714</v>
      </c>
      <c r="O30" s="23">
        <f t="shared" si="5"/>
        <v>82.676999999999992</v>
      </c>
      <c r="P30" s="23">
        <f t="shared" si="6"/>
        <v>1358.655676472101</v>
      </c>
      <c r="Q30" s="83"/>
      <c r="R30" s="14"/>
    </row>
    <row r="31" spans="2:18" ht="16.5" x14ac:dyDescent="0.25">
      <c r="B31" s="47" t="s">
        <v>78</v>
      </c>
      <c r="C31" s="5" t="s">
        <v>104</v>
      </c>
      <c r="D31" s="22">
        <v>1</v>
      </c>
      <c r="E31" s="61" t="s">
        <v>34</v>
      </c>
      <c r="F31" s="9">
        <v>17.760000000000002</v>
      </c>
      <c r="G31" s="11">
        <v>3.96</v>
      </c>
      <c r="H31" s="8">
        <v>2.58</v>
      </c>
      <c r="I31" s="41">
        <f t="shared" si="0"/>
        <v>53524.800000000003</v>
      </c>
      <c r="J31" s="12">
        <f t="shared" si="1"/>
        <v>53.524800000000006</v>
      </c>
      <c r="K31" s="8">
        <f t="shared" si="2"/>
        <v>181.450368</v>
      </c>
      <c r="L31" s="18">
        <v>118000</v>
      </c>
      <c r="M31" s="23">
        <f t="shared" si="3"/>
        <v>699.21119999999996</v>
      </c>
      <c r="N31" s="23">
        <f t="shared" si="4"/>
        <v>155.90519999999998</v>
      </c>
      <c r="O31" s="23">
        <f t="shared" si="5"/>
        <v>101.57459999999999</v>
      </c>
      <c r="P31" s="23">
        <f t="shared" si="6"/>
        <v>6407.8208253327166</v>
      </c>
      <c r="Q31" s="83">
        <v>8950</v>
      </c>
      <c r="R31" s="14"/>
    </row>
    <row r="32" spans="2:18" ht="16.5" x14ac:dyDescent="0.25">
      <c r="B32" s="47" t="s">
        <v>79</v>
      </c>
      <c r="C32" s="5" t="s">
        <v>104</v>
      </c>
      <c r="D32" s="22">
        <v>1</v>
      </c>
      <c r="E32" s="61" t="s">
        <v>30</v>
      </c>
      <c r="F32" s="11">
        <v>14.78</v>
      </c>
      <c r="G32" s="12">
        <v>3.6</v>
      </c>
      <c r="H32" s="11">
        <v>3.41</v>
      </c>
      <c r="I32" s="41">
        <f t="shared" si="0"/>
        <v>96163.199999999997</v>
      </c>
      <c r="J32" s="9">
        <f t="shared" si="1"/>
        <v>96.163200000000003</v>
      </c>
      <c r="K32" s="8">
        <f t="shared" si="2"/>
        <v>181.43928</v>
      </c>
      <c r="L32" s="16">
        <v>212000</v>
      </c>
      <c r="M32" s="23">
        <f t="shared" si="3"/>
        <v>581.88859999999988</v>
      </c>
      <c r="N32" s="23">
        <f t="shared" si="4"/>
        <v>141.732</v>
      </c>
      <c r="O32" s="23">
        <f t="shared" si="5"/>
        <v>134.2517</v>
      </c>
      <c r="P32" s="23">
        <f t="shared" si="6"/>
        <v>6407.4292586575184</v>
      </c>
      <c r="Q32" s="83">
        <v>38500</v>
      </c>
      <c r="R32" s="14"/>
    </row>
    <row r="33" spans="2:18" ht="16.5" x14ac:dyDescent="0.25">
      <c r="B33" s="47" t="s">
        <v>80</v>
      </c>
      <c r="C33" s="5" t="s">
        <v>104</v>
      </c>
      <c r="D33" s="22">
        <v>1</v>
      </c>
      <c r="E33" s="61" t="s">
        <v>51</v>
      </c>
      <c r="F33" s="8">
        <v>9.35</v>
      </c>
      <c r="G33" s="11">
        <v>3.95</v>
      </c>
      <c r="H33" s="12">
        <v>2.9969999999999999</v>
      </c>
      <c r="I33" s="41">
        <f t="shared" si="0"/>
        <v>72576</v>
      </c>
      <c r="J33" s="9">
        <f t="shared" si="1"/>
        <v>72.575999999999993</v>
      </c>
      <c r="K33" s="8">
        <f t="shared" si="2"/>
        <v>110.68670249999998</v>
      </c>
      <c r="L33" s="16">
        <v>160000</v>
      </c>
      <c r="M33" s="23">
        <f t="shared" si="3"/>
        <v>368.10949999999997</v>
      </c>
      <c r="N33" s="23">
        <f t="shared" si="4"/>
        <v>155.51149999999998</v>
      </c>
      <c r="O33" s="23">
        <f t="shared" si="5"/>
        <v>117.99188999999998</v>
      </c>
      <c r="P33" s="23">
        <f t="shared" si="6"/>
        <v>3908.8405561509071</v>
      </c>
      <c r="Q33" s="83">
        <v>28500</v>
      </c>
      <c r="R33" s="14"/>
    </row>
    <row r="34" spans="2:18" ht="16.5" x14ac:dyDescent="0.25">
      <c r="B34" s="47" t="s">
        <v>81</v>
      </c>
      <c r="C34" s="5" t="s">
        <v>104</v>
      </c>
      <c r="D34" s="22">
        <v>1</v>
      </c>
      <c r="E34" s="61" t="s">
        <v>45</v>
      </c>
      <c r="F34" s="8">
        <v>5.85</v>
      </c>
      <c r="G34" s="8">
        <v>2.12</v>
      </c>
      <c r="H34" s="8">
        <v>2.74</v>
      </c>
      <c r="I34" s="41">
        <f t="shared" si="0"/>
        <v>9072</v>
      </c>
      <c r="J34" s="8">
        <f t="shared" si="1"/>
        <v>9.0719999999999992</v>
      </c>
      <c r="K34" s="8">
        <f t="shared" si="2"/>
        <v>33.981479999999998</v>
      </c>
      <c r="L34" s="7">
        <v>20000</v>
      </c>
      <c r="M34" s="23">
        <f t="shared" si="3"/>
        <v>230.31449999999998</v>
      </c>
      <c r="N34" s="23">
        <f t="shared" si="4"/>
        <v>83.464399999999998</v>
      </c>
      <c r="O34" s="23">
        <f t="shared" si="5"/>
        <v>107.8738</v>
      </c>
      <c r="P34" s="23">
        <f t="shared" si="6"/>
        <v>1200.0374406494852</v>
      </c>
      <c r="Q34" s="83"/>
      <c r="R34" s="14"/>
    </row>
    <row r="35" spans="2:18" ht="16.5" x14ac:dyDescent="0.25">
      <c r="B35" s="47" t="s">
        <v>82</v>
      </c>
      <c r="C35" s="5" t="s">
        <v>104</v>
      </c>
      <c r="D35" s="22">
        <v>1</v>
      </c>
      <c r="E35" s="61" t="s">
        <v>29</v>
      </c>
      <c r="F35" s="9">
        <v>17.760000000000002</v>
      </c>
      <c r="G35" s="8">
        <v>2.9550000000000001</v>
      </c>
      <c r="H35" s="8">
        <v>2.58</v>
      </c>
      <c r="I35" s="41">
        <f t="shared" si="0"/>
        <v>32205.599999999999</v>
      </c>
      <c r="J35" s="10">
        <f t="shared" si="1"/>
        <v>32.205599999999997</v>
      </c>
      <c r="K35" s="8">
        <f t="shared" si="2"/>
        <v>135.40046400000003</v>
      </c>
      <c r="L35" s="19">
        <v>71000</v>
      </c>
      <c r="M35" s="23">
        <f t="shared" si="3"/>
        <v>699.21119999999996</v>
      </c>
      <c r="N35" s="23">
        <f t="shared" si="4"/>
        <v>116.33834999999999</v>
      </c>
      <c r="O35" s="23">
        <f t="shared" si="5"/>
        <v>101.57459999999999</v>
      </c>
      <c r="P35" s="23">
        <f t="shared" si="6"/>
        <v>4781.5935704187314</v>
      </c>
      <c r="Q35" s="83">
        <v>4650</v>
      </c>
      <c r="R35" s="14"/>
    </row>
    <row r="36" spans="2:18" ht="16.5" x14ac:dyDescent="0.25">
      <c r="B36" s="47" t="s">
        <v>83</v>
      </c>
      <c r="C36" s="5" t="s">
        <v>104</v>
      </c>
      <c r="D36" s="22">
        <v>1</v>
      </c>
      <c r="E36" s="6" t="s">
        <v>47</v>
      </c>
      <c r="F36" s="8">
        <v>5.4</v>
      </c>
      <c r="G36" s="9">
        <v>4.74</v>
      </c>
      <c r="H36" s="8">
        <v>2.74</v>
      </c>
      <c r="I36" s="41">
        <f t="shared" si="0"/>
        <v>10432.799999999999</v>
      </c>
      <c r="J36" s="8">
        <f t="shared" si="1"/>
        <v>10.432799999999999</v>
      </c>
      <c r="K36" s="8">
        <f t="shared" si="2"/>
        <v>70.133040000000022</v>
      </c>
      <c r="L36" s="7">
        <v>23000</v>
      </c>
      <c r="M36" s="23">
        <f t="shared" si="3"/>
        <v>212.59800000000001</v>
      </c>
      <c r="N36" s="23">
        <f t="shared" si="4"/>
        <v>186.6138</v>
      </c>
      <c r="O36" s="23">
        <f t="shared" si="5"/>
        <v>107.8738</v>
      </c>
      <c r="P36" s="23">
        <f t="shared" si="6"/>
        <v>2476.7100734449464</v>
      </c>
      <c r="Q36" s="83"/>
      <c r="R36" s="14"/>
    </row>
    <row r="37" spans="2:18" ht="16.5" x14ac:dyDescent="0.25">
      <c r="B37" s="47" t="s">
        <v>84</v>
      </c>
      <c r="C37" s="5" t="s">
        <v>104</v>
      </c>
      <c r="D37" s="22">
        <v>1</v>
      </c>
      <c r="E37" s="6" t="s">
        <v>46</v>
      </c>
      <c r="F37" s="8">
        <v>3.17</v>
      </c>
      <c r="G37" s="8">
        <v>2.1800000000000002</v>
      </c>
      <c r="H37" s="10">
        <v>2.9</v>
      </c>
      <c r="I37" s="41">
        <f t="shared" si="0"/>
        <v>2907.2335320000002</v>
      </c>
      <c r="J37" s="8">
        <f t="shared" si="1"/>
        <v>2.9072335320000002</v>
      </c>
      <c r="K37" s="8">
        <f t="shared" si="2"/>
        <v>20.04074</v>
      </c>
      <c r="L37" s="7">
        <v>6409.2449999999999</v>
      </c>
      <c r="M37" s="23">
        <f t="shared" si="3"/>
        <v>124.80289999999999</v>
      </c>
      <c r="N37" s="23">
        <f t="shared" si="4"/>
        <v>85.826599999999999</v>
      </c>
      <c r="O37" s="23">
        <f t="shared" si="5"/>
        <v>114.17299999999999</v>
      </c>
      <c r="P37" s="23">
        <f t="shared" si="6"/>
        <v>707.72780756817417</v>
      </c>
      <c r="Q37" s="83"/>
      <c r="R37" s="14"/>
    </row>
    <row r="38" spans="2:18" ht="16.5" x14ac:dyDescent="0.25">
      <c r="B38" s="47" t="s">
        <v>85</v>
      </c>
      <c r="C38" s="5" t="s">
        <v>104</v>
      </c>
      <c r="D38" s="22">
        <v>1</v>
      </c>
      <c r="E38" s="61" t="s">
        <v>43</v>
      </c>
      <c r="F38" s="8">
        <v>5.43</v>
      </c>
      <c r="G38" s="8">
        <v>2.93</v>
      </c>
      <c r="H38" s="12">
        <v>3.048</v>
      </c>
      <c r="I38" s="41">
        <f t="shared" si="0"/>
        <v>20003.759999999998</v>
      </c>
      <c r="J38" s="8">
        <f t="shared" si="1"/>
        <v>20.00376</v>
      </c>
      <c r="K38" s="8">
        <f t="shared" si="2"/>
        <v>48.493375200000003</v>
      </c>
      <c r="L38" s="7">
        <v>44100</v>
      </c>
      <c r="M38" s="23">
        <f t="shared" si="3"/>
        <v>213.77909999999997</v>
      </c>
      <c r="N38" s="23">
        <f t="shared" si="4"/>
        <v>115.3541</v>
      </c>
      <c r="O38" s="23">
        <f t="shared" si="5"/>
        <v>119.99975999999999</v>
      </c>
      <c r="P38" s="23">
        <f t="shared" si="6"/>
        <v>1712.5171082443499</v>
      </c>
      <c r="Q38" s="83"/>
      <c r="R38" s="14"/>
    </row>
    <row r="39" spans="2:18" ht="16.5" x14ac:dyDescent="0.25">
      <c r="B39" s="47" t="s">
        <v>86</v>
      </c>
      <c r="C39" s="5" t="s">
        <v>104</v>
      </c>
      <c r="D39" s="22">
        <v>1</v>
      </c>
      <c r="E39" s="6" t="s">
        <v>52</v>
      </c>
      <c r="F39" s="8">
        <v>5.43</v>
      </c>
      <c r="G39" s="8">
        <v>2.68</v>
      </c>
      <c r="H39" s="10">
        <v>2.8956</v>
      </c>
      <c r="I39" s="41">
        <f t="shared" si="0"/>
        <v>24494.400000000001</v>
      </c>
      <c r="J39" s="8">
        <f t="shared" si="1"/>
        <v>24.494400000000002</v>
      </c>
      <c r="K39" s="8">
        <f t="shared" si="2"/>
        <v>42.137929440000001</v>
      </c>
      <c r="L39" s="7">
        <v>54000</v>
      </c>
      <c r="M39" s="23">
        <f t="shared" si="3"/>
        <v>213.77909999999997</v>
      </c>
      <c r="N39" s="23">
        <f t="shared" si="4"/>
        <v>105.5116</v>
      </c>
      <c r="O39" s="23">
        <f t="shared" si="5"/>
        <v>113.99977199999999</v>
      </c>
      <c r="P39" s="23">
        <f t="shared" si="6"/>
        <v>1488.0780060034522</v>
      </c>
      <c r="Q39" s="83"/>
      <c r="R39" s="14"/>
    </row>
    <row r="40" spans="2:18" ht="16.5" x14ac:dyDescent="0.25">
      <c r="B40" s="47" t="s">
        <v>87</v>
      </c>
      <c r="C40" s="5" t="s">
        <v>104</v>
      </c>
      <c r="D40" s="22">
        <v>1</v>
      </c>
      <c r="E40" s="6" t="s">
        <v>44</v>
      </c>
      <c r="F40" s="8">
        <v>5.43</v>
      </c>
      <c r="G40" s="8">
        <v>2.95</v>
      </c>
      <c r="H40" s="8">
        <v>2.64</v>
      </c>
      <c r="I40" s="41">
        <f t="shared" si="0"/>
        <v>22679.86392</v>
      </c>
      <c r="J40" s="8">
        <f t="shared" si="1"/>
        <v>22.679863919999999</v>
      </c>
      <c r="K40" s="8">
        <f t="shared" si="2"/>
        <v>42.28884</v>
      </c>
      <c r="L40" s="7">
        <v>49999.7</v>
      </c>
      <c r="M40" s="23">
        <f t="shared" si="3"/>
        <v>213.77909999999997</v>
      </c>
      <c r="N40" s="23">
        <f t="shared" si="4"/>
        <v>116.14149999999999</v>
      </c>
      <c r="O40" s="23">
        <f t="shared" si="5"/>
        <v>103.93680000000001</v>
      </c>
      <c r="P40" s="23">
        <f t="shared" si="6"/>
        <v>1493.4073301585324</v>
      </c>
      <c r="Q40" s="83"/>
      <c r="R40" s="14"/>
    </row>
    <row r="41" spans="2:18" ht="16.5" x14ac:dyDescent="0.25">
      <c r="B41" s="47" t="s">
        <v>88</v>
      </c>
      <c r="C41" s="5" t="s">
        <v>104</v>
      </c>
      <c r="D41" s="22">
        <v>1</v>
      </c>
      <c r="E41" s="6" t="s">
        <v>48</v>
      </c>
      <c r="F41" s="8">
        <v>5.4</v>
      </c>
      <c r="G41" s="9">
        <v>4.74</v>
      </c>
      <c r="H41" s="8">
        <v>2.74</v>
      </c>
      <c r="I41" s="41">
        <f t="shared" si="0"/>
        <v>10432.799999999999</v>
      </c>
      <c r="J41" s="8">
        <f t="shared" si="1"/>
        <v>10.432799999999999</v>
      </c>
      <c r="K41" s="8">
        <f t="shared" si="2"/>
        <v>70.133040000000022</v>
      </c>
      <c r="L41" s="7">
        <v>23000</v>
      </c>
      <c r="M41" s="23">
        <f t="shared" si="3"/>
        <v>212.59800000000001</v>
      </c>
      <c r="N41" s="23">
        <f t="shared" si="4"/>
        <v>186.6138</v>
      </c>
      <c r="O41" s="23">
        <f t="shared" si="5"/>
        <v>107.8738</v>
      </c>
      <c r="P41" s="23">
        <f t="shared" si="6"/>
        <v>2476.7100734449464</v>
      </c>
      <c r="Q41" s="83"/>
      <c r="R41" s="14"/>
    </row>
    <row r="42" spans="2:18" ht="16.5" x14ac:dyDescent="0.25">
      <c r="B42" s="47" t="s">
        <v>89</v>
      </c>
      <c r="C42" s="5" t="s">
        <v>104</v>
      </c>
      <c r="D42" s="22">
        <v>1</v>
      </c>
      <c r="E42" s="6" t="s">
        <v>49</v>
      </c>
      <c r="F42" s="8">
        <v>3.17</v>
      </c>
      <c r="G42" s="8">
        <v>2.1800000000000002</v>
      </c>
      <c r="H42" s="10">
        <v>2.9</v>
      </c>
      <c r="I42" s="41">
        <f t="shared" si="0"/>
        <v>2907.2335320000002</v>
      </c>
      <c r="J42" s="8">
        <f t="shared" si="1"/>
        <v>2.9072335320000002</v>
      </c>
      <c r="K42" s="8">
        <f t="shared" si="2"/>
        <v>20.04074</v>
      </c>
      <c r="L42" s="7">
        <v>6409.2449999999999</v>
      </c>
      <c r="M42" s="23">
        <f t="shared" si="3"/>
        <v>124.80289999999999</v>
      </c>
      <c r="N42" s="23">
        <f t="shared" si="4"/>
        <v>85.826599999999999</v>
      </c>
      <c r="O42" s="23">
        <f t="shared" si="5"/>
        <v>114.17299999999999</v>
      </c>
      <c r="P42" s="23">
        <f t="shared" si="6"/>
        <v>707.72780756817417</v>
      </c>
      <c r="Q42" s="83"/>
      <c r="R42" s="14"/>
    </row>
    <row r="43" spans="2:18" ht="16.5" x14ac:dyDescent="0.25">
      <c r="B43" s="47" t="s">
        <v>90</v>
      </c>
      <c r="C43" s="5" t="s">
        <v>104</v>
      </c>
      <c r="D43" s="22">
        <v>1</v>
      </c>
      <c r="E43" s="61" t="s">
        <v>35</v>
      </c>
      <c r="F43" s="11">
        <v>15.98</v>
      </c>
      <c r="G43" s="12">
        <v>3.55</v>
      </c>
      <c r="H43" s="9">
        <v>4.0640000000000001</v>
      </c>
      <c r="I43" s="41">
        <f t="shared" si="0"/>
        <v>116001.8496</v>
      </c>
      <c r="J43" s="9">
        <f t="shared" si="1"/>
        <v>116.0018496</v>
      </c>
      <c r="K43" s="8">
        <f t="shared" si="2"/>
        <v>230.54665600000001</v>
      </c>
      <c r="L43" s="16">
        <v>255736</v>
      </c>
      <c r="M43" s="23">
        <f t="shared" si="3"/>
        <v>629.13260000000002</v>
      </c>
      <c r="N43" s="23">
        <f t="shared" si="4"/>
        <v>139.76349999999999</v>
      </c>
      <c r="O43" s="23">
        <f t="shared" si="5"/>
        <v>159.99967999999998</v>
      </c>
      <c r="P43" s="23">
        <f t="shared" si="6"/>
        <v>8141.6294704214542</v>
      </c>
      <c r="Q43" s="83">
        <v>48500</v>
      </c>
      <c r="R43" s="14"/>
    </row>
    <row r="44" spans="2:18" ht="16.5" x14ac:dyDescent="0.25">
      <c r="B44" s="47" t="s">
        <v>91</v>
      </c>
      <c r="C44" s="5" t="s">
        <v>104</v>
      </c>
      <c r="D44" s="22">
        <v>1</v>
      </c>
      <c r="E44" s="61" t="s">
        <v>36</v>
      </c>
      <c r="F44" s="11">
        <v>15.98</v>
      </c>
      <c r="G44" s="8">
        <v>3.1349999999999998</v>
      </c>
      <c r="H44" s="12">
        <v>3.04</v>
      </c>
      <c r="I44" s="41">
        <f t="shared" si="0"/>
        <v>34029.148658400001</v>
      </c>
      <c r="J44" s="10">
        <f t="shared" si="1"/>
        <v>34.029148658400004</v>
      </c>
      <c r="K44" s="8">
        <f t="shared" si="2"/>
        <v>152.29579200000001</v>
      </c>
      <c r="L44" s="19">
        <v>75020.168999999994</v>
      </c>
      <c r="M44" s="23">
        <f t="shared" si="3"/>
        <v>629.13260000000002</v>
      </c>
      <c r="N44" s="23">
        <f t="shared" si="4"/>
        <v>123.42494999999998</v>
      </c>
      <c r="O44" s="23">
        <f t="shared" si="5"/>
        <v>119.6848</v>
      </c>
      <c r="P44" s="23">
        <f t="shared" si="6"/>
        <v>5378.2428679788609</v>
      </c>
      <c r="Q44" s="83">
        <v>4650</v>
      </c>
      <c r="R44" s="14"/>
    </row>
    <row r="45" spans="2:18" ht="16.5" x14ac:dyDescent="0.25">
      <c r="B45" s="47" t="s">
        <v>92</v>
      </c>
      <c r="C45" s="5" t="s">
        <v>104</v>
      </c>
      <c r="D45" s="22">
        <v>1</v>
      </c>
      <c r="E45" s="61" t="s">
        <v>38</v>
      </c>
      <c r="F45" s="11">
        <v>15.98</v>
      </c>
      <c r="G45" s="8">
        <v>2.94</v>
      </c>
      <c r="H45" s="11">
        <v>3.43</v>
      </c>
      <c r="I45" s="41">
        <f t="shared" si="0"/>
        <v>67001.119920000012</v>
      </c>
      <c r="J45" s="11">
        <f t="shared" si="1"/>
        <v>67.001119920000008</v>
      </c>
      <c r="K45" s="8">
        <f t="shared" si="2"/>
        <v>161.14551600000001</v>
      </c>
      <c r="L45" s="17">
        <v>147709.70000000001</v>
      </c>
      <c r="M45" s="23">
        <f t="shared" si="3"/>
        <v>629.13260000000002</v>
      </c>
      <c r="N45" s="23">
        <f t="shared" si="4"/>
        <v>115.74779999999998</v>
      </c>
      <c r="O45" s="23">
        <f t="shared" si="5"/>
        <v>135.03909999999999</v>
      </c>
      <c r="P45" s="23">
        <f t="shared" si="6"/>
        <v>5690.7660464694482</v>
      </c>
      <c r="Q45" s="83">
        <v>14850</v>
      </c>
      <c r="R45" s="14"/>
    </row>
    <row r="46" spans="2:18" ht="16.5" x14ac:dyDescent="0.25">
      <c r="B46" s="47" t="s">
        <v>93</v>
      </c>
      <c r="C46" s="5" t="s">
        <v>104</v>
      </c>
      <c r="D46" s="22">
        <v>1</v>
      </c>
      <c r="E46" s="61" t="s">
        <v>50</v>
      </c>
      <c r="F46" s="8">
        <v>9.35</v>
      </c>
      <c r="G46" s="11">
        <v>3.95</v>
      </c>
      <c r="H46" s="12">
        <v>2.9969999999999999</v>
      </c>
      <c r="I46" s="41">
        <f t="shared" si="0"/>
        <v>73936.800000000003</v>
      </c>
      <c r="J46" s="9">
        <f t="shared" si="1"/>
        <v>73.936800000000005</v>
      </c>
      <c r="K46" s="8">
        <f t="shared" si="2"/>
        <v>110.68670249999998</v>
      </c>
      <c r="L46" s="16">
        <v>163000</v>
      </c>
      <c r="M46" s="23">
        <f t="shared" si="3"/>
        <v>368.10949999999997</v>
      </c>
      <c r="N46" s="23">
        <f t="shared" si="4"/>
        <v>155.51149999999998</v>
      </c>
      <c r="O46" s="23">
        <f t="shared" si="5"/>
        <v>117.99188999999998</v>
      </c>
      <c r="P46" s="23">
        <f t="shared" si="6"/>
        <v>3908.8405561509071</v>
      </c>
      <c r="Q46" s="83">
        <v>18500</v>
      </c>
      <c r="R46" s="14"/>
    </row>
    <row r="47" spans="2:18" ht="16.5" x14ac:dyDescent="0.25">
      <c r="B47" s="47" t="s">
        <v>94</v>
      </c>
      <c r="C47" s="5" t="s">
        <v>104</v>
      </c>
      <c r="D47" s="22">
        <v>1</v>
      </c>
      <c r="E47" s="6" t="s">
        <v>20</v>
      </c>
      <c r="F47" s="8">
        <v>5.8166000000000002</v>
      </c>
      <c r="G47" s="9">
        <v>5.1562000000000001</v>
      </c>
      <c r="H47" s="8">
        <v>0.73660000000000003</v>
      </c>
      <c r="I47" s="41">
        <f t="shared" si="0"/>
        <v>3175.2</v>
      </c>
      <c r="J47" s="8">
        <f t="shared" si="1"/>
        <v>3.1751999999999998</v>
      </c>
      <c r="K47" s="8">
        <f t="shared" si="2"/>
        <v>22.091777880872002</v>
      </c>
      <c r="L47" s="7">
        <v>7000</v>
      </c>
      <c r="M47" s="23">
        <f t="shared" si="3"/>
        <v>228.99954199999999</v>
      </c>
      <c r="N47" s="23">
        <f t="shared" si="4"/>
        <v>202.999594</v>
      </c>
      <c r="O47" s="23">
        <f t="shared" si="5"/>
        <v>28.999942000000001</v>
      </c>
      <c r="P47" s="23">
        <f t="shared" si="6"/>
        <v>780.15909217487126</v>
      </c>
      <c r="Q47" s="83"/>
      <c r="R47" s="14"/>
    </row>
    <row r="48" spans="2:18" ht="16.5" x14ac:dyDescent="0.25">
      <c r="B48" s="47" t="s">
        <v>95</v>
      </c>
      <c r="C48" s="5" t="s">
        <v>104</v>
      </c>
      <c r="D48" s="22">
        <v>1</v>
      </c>
      <c r="E48" s="6" t="s">
        <v>13</v>
      </c>
      <c r="F48" s="8">
        <v>5.6134000000000004</v>
      </c>
      <c r="G48" s="8">
        <v>3.4289999999999998</v>
      </c>
      <c r="H48" s="8">
        <v>0.63500000000000001</v>
      </c>
      <c r="I48" s="41">
        <f t="shared" si="0"/>
        <v>1360.8</v>
      </c>
      <c r="J48" s="8">
        <f t="shared" si="1"/>
        <v>1.3608</v>
      </c>
      <c r="K48" s="8">
        <f t="shared" si="2"/>
        <v>12.222701361</v>
      </c>
      <c r="L48" s="7">
        <v>3000</v>
      </c>
      <c r="M48" s="23">
        <f t="shared" si="3"/>
        <v>220.99955800000001</v>
      </c>
      <c r="N48" s="23">
        <f t="shared" si="4"/>
        <v>134.99972999999997</v>
      </c>
      <c r="O48" s="23">
        <f t="shared" si="5"/>
        <v>24.999949999999998</v>
      </c>
      <c r="P48" s="23">
        <f t="shared" si="6"/>
        <v>431.63803516142957</v>
      </c>
      <c r="Q48" s="83"/>
      <c r="R48" s="14"/>
    </row>
    <row r="49" spans="2:18" ht="16.5" x14ac:dyDescent="0.25">
      <c r="B49" s="47" t="s">
        <v>96</v>
      </c>
      <c r="C49" s="5" t="s">
        <v>104</v>
      </c>
      <c r="D49" s="22">
        <v>1</v>
      </c>
      <c r="E49" s="6" t="s">
        <v>16</v>
      </c>
      <c r="F49" s="8">
        <v>5.1054000000000004</v>
      </c>
      <c r="G49" s="8">
        <v>3.2511999999999999</v>
      </c>
      <c r="H49" s="8">
        <v>1.1175999999999999</v>
      </c>
      <c r="I49" s="41">
        <f t="shared" si="0"/>
        <v>1360.8</v>
      </c>
      <c r="J49" s="8">
        <f t="shared" si="1"/>
        <v>1.3608</v>
      </c>
      <c r="K49" s="8">
        <f t="shared" si="2"/>
        <v>18.550680834048002</v>
      </c>
      <c r="L49" s="7">
        <v>3000</v>
      </c>
      <c r="M49" s="23">
        <f t="shared" si="3"/>
        <v>200.99959799999999</v>
      </c>
      <c r="N49" s="23">
        <f t="shared" si="4"/>
        <v>127.99974399999999</v>
      </c>
      <c r="O49" s="23">
        <f t="shared" si="5"/>
        <v>43.999911999999995</v>
      </c>
      <c r="P49" s="23">
        <f t="shared" si="6"/>
        <v>655.10718045230556</v>
      </c>
      <c r="Q49" s="83"/>
      <c r="R49" s="14"/>
    </row>
    <row r="50" spans="2:18" ht="16.5" x14ac:dyDescent="0.25">
      <c r="B50" s="47" t="s">
        <v>97</v>
      </c>
      <c r="C50" s="5" t="s">
        <v>104</v>
      </c>
      <c r="D50" s="22">
        <v>1</v>
      </c>
      <c r="E50" s="6" t="s">
        <v>14</v>
      </c>
      <c r="F50" s="8">
        <v>5.6134000000000004</v>
      </c>
      <c r="G50" s="8">
        <v>3.4289999999999998</v>
      </c>
      <c r="H50" s="8">
        <v>0.63500000000000001</v>
      </c>
      <c r="I50" s="41">
        <f t="shared" si="0"/>
        <v>1360.8</v>
      </c>
      <c r="J50" s="8">
        <f t="shared" si="1"/>
        <v>1.3608</v>
      </c>
      <c r="K50" s="8">
        <f t="shared" si="2"/>
        <v>12.222701361</v>
      </c>
      <c r="L50" s="7">
        <v>3000</v>
      </c>
      <c r="M50" s="23">
        <f t="shared" si="3"/>
        <v>220.99955800000001</v>
      </c>
      <c r="N50" s="23">
        <f t="shared" si="4"/>
        <v>134.99972999999997</v>
      </c>
      <c r="O50" s="23">
        <f t="shared" si="5"/>
        <v>24.999949999999998</v>
      </c>
      <c r="P50" s="23">
        <f t="shared" si="6"/>
        <v>431.63803516142957</v>
      </c>
      <c r="Q50" s="83"/>
      <c r="R50" s="14"/>
    </row>
    <row r="51" spans="2:18" ht="16.5" x14ac:dyDescent="0.25">
      <c r="B51" s="47" t="s">
        <v>98</v>
      </c>
      <c r="C51" s="5" t="s">
        <v>104</v>
      </c>
      <c r="D51" s="22">
        <v>1</v>
      </c>
      <c r="E51" s="6" t="s">
        <v>17</v>
      </c>
      <c r="F51" s="8">
        <v>4.9530000000000003</v>
      </c>
      <c r="G51" s="8">
        <v>3.2511999999999999</v>
      </c>
      <c r="H51" s="8">
        <v>1.016</v>
      </c>
      <c r="I51" s="41">
        <f t="shared" si="0"/>
        <v>1360.8</v>
      </c>
      <c r="J51" s="8">
        <f t="shared" si="1"/>
        <v>1.3608</v>
      </c>
      <c r="K51" s="8">
        <f t="shared" si="2"/>
        <v>16.360844697600001</v>
      </c>
      <c r="L51" s="7">
        <v>3000</v>
      </c>
      <c r="M51" s="23">
        <f t="shared" si="3"/>
        <v>194.99960999999999</v>
      </c>
      <c r="N51" s="23">
        <f t="shared" si="4"/>
        <v>127.99974399999999</v>
      </c>
      <c r="O51" s="23">
        <f t="shared" si="5"/>
        <v>39.999919999999996</v>
      </c>
      <c r="P51" s="23">
        <f t="shared" si="6"/>
        <v>577.77431111804435</v>
      </c>
      <c r="Q51" s="83"/>
      <c r="R51" s="14"/>
    </row>
    <row r="52" spans="2:18" ht="16.5" x14ac:dyDescent="0.25">
      <c r="B52" s="47" t="s">
        <v>99</v>
      </c>
      <c r="C52" s="5" t="s">
        <v>104</v>
      </c>
      <c r="D52" s="5">
        <v>1</v>
      </c>
      <c r="E52" s="6" t="s">
        <v>26</v>
      </c>
      <c r="F52" s="8">
        <v>11.28</v>
      </c>
      <c r="G52" s="8">
        <v>2.31</v>
      </c>
      <c r="H52" s="12">
        <v>3.2</v>
      </c>
      <c r="I52" s="41">
        <f t="shared" si="0"/>
        <v>9072</v>
      </c>
      <c r="J52" s="8">
        <f t="shared" si="1"/>
        <v>9.0719999999999992</v>
      </c>
      <c r="K52" s="8">
        <f t="shared" si="2"/>
        <v>83.38176</v>
      </c>
      <c r="L52" s="7">
        <v>20000</v>
      </c>
      <c r="M52" s="23">
        <f t="shared" si="3"/>
        <v>444.09359999999992</v>
      </c>
      <c r="N52" s="23">
        <f t="shared" si="4"/>
        <v>90.944699999999997</v>
      </c>
      <c r="O52" s="23">
        <f t="shared" si="5"/>
        <v>125.98399999999999</v>
      </c>
      <c r="P52" s="23">
        <f t="shared" si="6"/>
        <v>2944.5813974920925</v>
      </c>
      <c r="Q52" s="83"/>
      <c r="R52" s="14"/>
    </row>
    <row r="53" spans="2:18" ht="16.5" x14ac:dyDescent="0.25">
      <c r="B53" s="54" t="s">
        <v>100</v>
      </c>
      <c r="C53" s="5" t="s">
        <v>104</v>
      </c>
      <c r="D53" s="22">
        <v>1</v>
      </c>
      <c r="E53" s="42" t="s">
        <v>182</v>
      </c>
      <c r="F53" s="8">
        <v>6.03</v>
      </c>
      <c r="G53" s="8">
        <v>2.76</v>
      </c>
      <c r="H53" s="10">
        <v>2.92</v>
      </c>
      <c r="I53" s="41">
        <f t="shared" si="0"/>
        <v>4082.4</v>
      </c>
      <c r="J53" s="8">
        <f t="shared" si="1"/>
        <v>4.0823999999999998</v>
      </c>
      <c r="K53" s="8">
        <f t="shared" si="2"/>
        <v>48.596976000000005</v>
      </c>
      <c r="L53" s="7">
        <v>9000</v>
      </c>
      <c r="M53" s="23">
        <f t="shared" si="3"/>
        <v>237.40109999999999</v>
      </c>
      <c r="N53" s="23">
        <f t="shared" si="4"/>
        <v>108.66119999999998</v>
      </c>
      <c r="O53" s="23">
        <f t="shared" si="5"/>
        <v>114.96039999999999</v>
      </c>
      <c r="P53" s="23">
        <f t="shared" si="6"/>
        <v>1716.1757140167067</v>
      </c>
      <c r="Q53" s="83"/>
      <c r="R53" s="14"/>
    </row>
    <row r="54" spans="2:18" ht="18.75" x14ac:dyDescent="0.25">
      <c r="B54" s="35"/>
      <c r="C54" s="36"/>
      <c r="D54" s="27">
        <f>SUM(D7:D53)</f>
        <v>47</v>
      </c>
      <c r="E54" s="37"/>
      <c r="F54" s="38"/>
      <c r="G54" s="35"/>
      <c r="H54" s="39"/>
      <c r="I54" s="25">
        <f>SUM(I7:I53)</f>
        <v>1234193.0091623999</v>
      </c>
      <c r="J54" s="25">
        <f>SUM(J7:J53)</f>
        <v>1234.1930091623994</v>
      </c>
      <c r="K54" s="25">
        <f>SUM(K7:K53)</f>
        <v>3014.5096672604959</v>
      </c>
      <c r="L54" s="26">
        <f>SUM(L7:L53)</f>
        <v>2720884.0590000004</v>
      </c>
      <c r="M54" s="40"/>
      <c r="N54" s="38"/>
      <c r="O54" s="39"/>
      <c r="P54" s="25">
        <f>SUM(P7:P53)</f>
        <v>106455.76549086196</v>
      </c>
      <c r="Q54" s="14"/>
      <c r="R54" s="14"/>
    </row>
    <row r="55" spans="2:18" ht="16.5" x14ac:dyDescent="0.25">
      <c r="I55" s="15"/>
      <c r="K55" s="20"/>
      <c r="P55" s="14"/>
    </row>
    <row r="56" spans="2:18" ht="16.5" x14ac:dyDescent="0.25">
      <c r="I56" s="13"/>
    </row>
    <row r="57" spans="2:18" s="3" customFormat="1" x14ac:dyDescent="0.25">
      <c r="C57" s="1"/>
      <c r="D57" s="2"/>
      <c r="F57"/>
      <c r="G57"/>
      <c r="H57"/>
      <c r="I57"/>
      <c r="J57"/>
      <c r="K57"/>
      <c r="L57" s="14"/>
    </row>
    <row r="58" spans="2:18" s="3" customFormat="1" x14ac:dyDescent="0.25">
      <c r="C58" s="1"/>
      <c r="D58" s="2"/>
      <c r="F58"/>
      <c r="G58"/>
      <c r="H58"/>
      <c r="I58" s="14"/>
      <c r="J58"/>
      <c r="K58"/>
      <c r="L58"/>
    </row>
    <row r="59" spans="2:18" s="3" customFormat="1" x14ac:dyDescent="0.25">
      <c r="C59" s="1"/>
      <c r="D59" s="2"/>
      <c r="F59"/>
      <c r="G59"/>
      <c r="H59"/>
      <c r="I59"/>
      <c r="J59"/>
      <c r="K59"/>
      <c r="L59"/>
    </row>
    <row r="60" spans="2:18" s="3" customFormat="1" x14ac:dyDescent="0.25">
      <c r="C60" s="1"/>
      <c r="D60" s="2"/>
      <c r="F60"/>
      <c r="G60"/>
      <c r="H60"/>
      <c r="I60"/>
      <c r="J60"/>
      <c r="K60"/>
      <c r="L60"/>
    </row>
    <row r="61" spans="2:18" s="3" customFormat="1" x14ac:dyDescent="0.25">
      <c r="C61" s="1"/>
      <c r="D61" s="2"/>
      <c r="F61"/>
      <c r="G61"/>
      <c r="H61"/>
      <c r="I61"/>
      <c r="J61"/>
      <c r="K61"/>
      <c r="L61"/>
    </row>
    <row r="65" spans="4:31" s="1" customFormat="1" x14ac:dyDescent="0.25">
      <c r="D65" s="2"/>
      <c r="E65" s="3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4:31" s="1" customFormat="1" x14ac:dyDescent="0.25">
      <c r="D66" s="2"/>
      <c r="E66" s="3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4:31" s="1" customFormat="1" x14ac:dyDescent="0.25">
      <c r="D67" s="2"/>
      <c r="E67" s="3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 spans="4:31" s="1" customFormat="1" x14ac:dyDescent="0.25">
      <c r="D68" s="2"/>
      <c r="E68" s="3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</sheetData>
  <sortState xmlns:xlrd2="http://schemas.microsoft.com/office/spreadsheetml/2017/richdata2" ref="B7:P54">
    <sortCondition ref="E7:E54"/>
  </sortState>
  <mergeCells count="2">
    <mergeCell ref="B2:E2"/>
    <mergeCell ref="B4:D4"/>
  </mergeCells>
  <phoneticPr fontId="13" type="noConversion"/>
  <pageMargins left="0.25" right="0.25" top="0.75" bottom="0.75" header="0.3" footer="0.3"/>
  <pageSetup paperSize="8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E133-F355-4C45-A940-7CC429D6493A}">
  <sheetPr>
    <tabColor rgb="FFFF0000"/>
    <pageSetUpPr fitToPage="1"/>
  </sheetPr>
  <dimension ref="A1:T68"/>
  <sheetViews>
    <sheetView showGridLines="0" zoomScale="70" zoomScaleNormal="70" zoomScaleSheetLayoutView="30" workbookViewId="0">
      <selection activeCell="W26" sqref="W26"/>
    </sheetView>
  </sheetViews>
  <sheetFormatPr defaultColWidth="8.85546875" defaultRowHeight="15" x14ac:dyDescent="0.25"/>
  <cols>
    <col min="1" max="1" width="2" bestFit="1" customWidth="1"/>
    <col min="2" max="2" width="19.5703125" bestFit="1" customWidth="1"/>
    <col min="3" max="3" width="25.140625" style="1" bestFit="1" customWidth="1"/>
    <col min="4" max="4" width="22.28515625" style="2" bestFit="1" customWidth="1"/>
    <col min="5" max="5" width="67.7109375" style="3" bestFit="1" customWidth="1"/>
    <col min="6" max="6" width="28.85546875" bestFit="1" customWidth="1"/>
    <col min="7" max="7" width="29.7109375" bestFit="1" customWidth="1"/>
    <col min="8" max="8" width="29.28515625" bestFit="1" customWidth="1"/>
    <col min="9" max="9" width="26.140625" bestFit="1" customWidth="1"/>
    <col min="10" max="10" width="24.140625" bestFit="1" customWidth="1"/>
    <col min="11" max="11" width="22.7109375" bestFit="1" customWidth="1"/>
    <col min="12" max="12" width="21.28515625" bestFit="1" customWidth="1"/>
    <col min="13" max="13" width="25.5703125" bestFit="1" customWidth="1"/>
    <col min="14" max="14" width="26.5703125" bestFit="1" customWidth="1"/>
    <col min="15" max="15" width="26.140625" bestFit="1" customWidth="1"/>
    <col min="16" max="16" width="21.85546875" customWidth="1"/>
    <col min="17" max="17" width="3.5703125" customWidth="1"/>
    <col min="19" max="19" width="4.42578125" customWidth="1"/>
    <col min="20" max="20" width="8.85546875" hidden="1" customWidth="1"/>
  </cols>
  <sheetData>
    <row r="1" spans="1:16" x14ac:dyDescent="0.25">
      <c r="A1" s="24" t="s">
        <v>103</v>
      </c>
    </row>
    <row r="2" spans="1:16" ht="33" x14ac:dyDescent="0.25">
      <c r="B2" s="80" t="s">
        <v>101</v>
      </c>
      <c r="C2" s="80"/>
      <c r="D2" s="80"/>
      <c r="E2" s="80"/>
    </row>
    <row r="4" spans="1:16" ht="16.5" x14ac:dyDescent="0.25">
      <c r="B4" s="81" t="s">
        <v>102</v>
      </c>
      <c r="C4" s="81"/>
      <c r="D4" s="81"/>
    </row>
    <row r="6" spans="1:16" s="4" customFormat="1" ht="18.75" x14ac:dyDescent="0.25">
      <c r="B6" s="21" t="s">
        <v>53</v>
      </c>
      <c r="C6" s="28" t="s">
        <v>0</v>
      </c>
      <c r="D6" s="29" t="s">
        <v>1</v>
      </c>
      <c r="E6" s="30" t="s">
        <v>2</v>
      </c>
      <c r="F6" s="31" t="s">
        <v>3</v>
      </c>
      <c r="G6" s="31" t="s">
        <v>4</v>
      </c>
      <c r="H6" s="31" t="s">
        <v>5</v>
      </c>
      <c r="I6" s="31" t="s">
        <v>32</v>
      </c>
      <c r="J6" s="32" t="s">
        <v>31</v>
      </c>
      <c r="K6" s="33" t="s">
        <v>33</v>
      </c>
      <c r="L6" s="34" t="s">
        <v>6</v>
      </c>
      <c r="M6" s="34" t="s">
        <v>39</v>
      </c>
      <c r="N6" s="34" t="s">
        <v>40</v>
      </c>
      <c r="O6" s="34" t="s">
        <v>41</v>
      </c>
      <c r="P6" s="33" t="s">
        <v>42</v>
      </c>
    </row>
    <row r="7" spans="1:16" ht="16.5" x14ac:dyDescent="0.25">
      <c r="B7" s="47" t="s">
        <v>105</v>
      </c>
      <c r="C7" s="5" t="s">
        <v>104</v>
      </c>
      <c r="D7" s="22">
        <v>1</v>
      </c>
      <c r="E7" s="6" t="s">
        <v>25</v>
      </c>
      <c r="F7" s="8">
        <v>12.7</v>
      </c>
      <c r="G7" s="11">
        <v>4.2926000000000002</v>
      </c>
      <c r="H7" s="8">
        <v>2.4129999999999998</v>
      </c>
      <c r="I7" s="8">
        <f t="shared" ref="I7:I38" si="0">L7*0.4536</f>
        <v>78472.800000000003</v>
      </c>
      <c r="J7" s="9">
        <f t="shared" ref="J7:J38" si="1">I7/1000</f>
        <v>78.472800000000007</v>
      </c>
      <c r="K7" s="8">
        <f t="shared" ref="K7:K38" si="2">F7*G7*H7</f>
        <v>131.54715625999998</v>
      </c>
      <c r="L7" s="16">
        <v>173000</v>
      </c>
      <c r="M7" s="8">
        <f t="shared" ref="M7:M38" si="3">F7*39.37</f>
        <v>499.99899999999997</v>
      </c>
      <c r="N7" s="8">
        <f t="shared" ref="N7:N38" si="4">G7*39.37</f>
        <v>168.999662</v>
      </c>
      <c r="O7" s="8">
        <f t="shared" ref="O7:O38" si="5">H7*39.37</f>
        <v>94.999809999999982</v>
      </c>
      <c r="P7" s="8">
        <f t="shared" ref="P7:P38" si="6">M7*N7*O7/1728</f>
        <v>4645.5161082733375</v>
      </c>
    </row>
    <row r="8" spans="1:16" ht="16.5" x14ac:dyDescent="0.25">
      <c r="B8" s="47" t="s">
        <v>106</v>
      </c>
      <c r="C8" s="5" t="s">
        <v>104</v>
      </c>
      <c r="D8" s="22">
        <v>1</v>
      </c>
      <c r="E8" s="6" t="s">
        <v>19</v>
      </c>
      <c r="F8" s="8">
        <v>12.192</v>
      </c>
      <c r="G8" s="11">
        <v>4.3179999999999996</v>
      </c>
      <c r="H8" s="8">
        <v>1.397</v>
      </c>
      <c r="I8" s="8">
        <f t="shared" si="0"/>
        <v>47628</v>
      </c>
      <c r="J8" s="12">
        <f t="shared" si="1"/>
        <v>47.628</v>
      </c>
      <c r="K8" s="8">
        <f t="shared" si="2"/>
        <v>73.545143232000001</v>
      </c>
      <c r="L8" s="18">
        <v>105000</v>
      </c>
      <c r="M8" s="8">
        <f t="shared" si="3"/>
        <v>479.99903999999998</v>
      </c>
      <c r="N8" s="8">
        <f t="shared" si="4"/>
        <v>169.99965999999998</v>
      </c>
      <c r="O8" s="8">
        <f t="shared" si="5"/>
        <v>54.999890000000001</v>
      </c>
      <c r="P8" s="8">
        <f t="shared" si="6"/>
        <v>2597.206638920055</v>
      </c>
    </row>
    <row r="9" spans="1:16" ht="16.5" x14ac:dyDescent="0.25">
      <c r="B9" s="47" t="s">
        <v>107</v>
      </c>
      <c r="C9" s="5" t="s">
        <v>104</v>
      </c>
      <c r="D9" s="22">
        <v>1</v>
      </c>
      <c r="E9" s="6" t="s">
        <v>18</v>
      </c>
      <c r="F9" s="8">
        <v>12.192</v>
      </c>
      <c r="G9" s="11">
        <v>4.3179999999999996</v>
      </c>
      <c r="H9" s="8">
        <v>1.397</v>
      </c>
      <c r="I9" s="8">
        <f t="shared" si="0"/>
        <v>47628</v>
      </c>
      <c r="J9" s="12">
        <f t="shared" si="1"/>
        <v>47.628</v>
      </c>
      <c r="K9" s="8">
        <f t="shared" si="2"/>
        <v>73.545143232000001</v>
      </c>
      <c r="L9" s="18">
        <v>105000</v>
      </c>
      <c r="M9" s="8">
        <f t="shared" si="3"/>
        <v>479.99903999999998</v>
      </c>
      <c r="N9" s="8">
        <f t="shared" si="4"/>
        <v>169.99965999999998</v>
      </c>
      <c r="O9" s="8">
        <f t="shared" si="5"/>
        <v>54.999890000000001</v>
      </c>
      <c r="P9" s="8">
        <f t="shared" si="6"/>
        <v>2597.206638920055</v>
      </c>
    </row>
    <row r="10" spans="1:16" ht="16.5" x14ac:dyDescent="0.25">
      <c r="B10" s="47" t="s">
        <v>108</v>
      </c>
      <c r="C10" s="5" t="s">
        <v>104</v>
      </c>
      <c r="D10" s="22">
        <v>1</v>
      </c>
      <c r="E10" s="6" t="s">
        <v>15</v>
      </c>
      <c r="F10" s="8">
        <v>9.9060000000000006</v>
      </c>
      <c r="G10" s="11">
        <v>4.0132000000000003</v>
      </c>
      <c r="H10" s="8">
        <v>1.524</v>
      </c>
      <c r="I10" s="8">
        <f t="shared" si="0"/>
        <v>43999.199999999997</v>
      </c>
      <c r="J10" s="12">
        <f t="shared" si="1"/>
        <v>43.999199999999995</v>
      </c>
      <c r="K10" s="8">
        <f t="shared" si="2"/>
        <v>60.586253020800001</v>
      </c>
      <c r="L10" s="18">
        <v>97000</v>
      </c>
      <c r="M10" s="8">
        <f t="shared" si="3"/>
        <v>389.99921999999998</v>
      </c>
      <c r="N10" s="8">
        <f t="shared" si="4"/>
        <v>157.999684</v>
      </c>
      <c r="O10" s="8">
        <f t="shared" si="5"/>
        <v>59.999879999999997</v>
      </c>
      <c r="P10" s="8">
        <f t="shared" si="6"/>
        <v>2139.5704958590081</v>
      </c>
    </row>
    <row r="11" spans="1:16" ht="16.5" x14ac:dyDescent="0.25">
      <c r="B11" s="47" t="s">
        <v>109</v>
      </c>
      <c r="C11" s="5" t="s">
        <v>104</v>
      </c>
      <c r="D11" s="22">
        <v>1</v>
      </c>
      <c r="E11" s="6" t="s">
        <v>8</v>
      </c>
      <c r="F11" s="8">
        <f>9.8298</f>
        <v>9.8298000000000005</v>
      </c>
      <c r="G11" s="11">
        <f>4.4704</f>
        <v>4.4703999999999997</v>
      </c>
      <c r="H11" s="8">
        <f>1.4732</f>
        <v>1.4732000000000001</v>
      </c>
      <c r="I11" s="8">
        <f t="shared" si="0"/>
        <v>44452.800000000003</v>
      </c>
      <c r="J11" s="12">
        <f t="shared" si="1"/>
        <v>44.452800000000003</v>
      </c>
      <c r="K11" s="8">
        <f t="shared" si="2"/>
        <v>64.737030783744004</v>
      </c>
      <c r="L11" s="18">
        <v>98000</v>
      </c>
      <c r="M11" s="8">
        <f t="shared" si="3"/>
        <v>386.99922600000002</v>
      </c>
      <c r="N11" s="8">
        <f t="shared" si="4"/>
        <v>175.99964799999998</v>
      </c>
      <c r="O11" s="8">
        <f t="shared" si="5"/>
        <v>57.999884000000002</v>
      </c>
      <c r="P11" s="8">
        <f t="shared" si="6"/>
        <v>2286.1529496941002</v>
      </c>
    </row>
    <row r="12" spans="1:16" ht="16.5" x14ac:dyDescent="0.25">
      <c r="B12" s="47" t="s">
        <v>110</v>
      </c>
      <c r="C12" s="5" t="s">
        <v>104</v>
      </c>
      <c r="D12" s="22">
        <v>1</v>
      </c>
      <c r="E12" s="6" t="s">
        <v>10</v>
      </c>
      <c r="F12" s="8">
        <v>6.35</v>
      </c>
      <c r="G12" s="9">
        <v>4.7497999999999996</v>
      </c>
      <c r="H12" s="8">
        <v>1.5494000000000001</v>
      </c>
      <c r="I12" s="8">
        <f t="shared" si="0"/>
        <v>43999.199999999997</v>
      </c>
      <c r="J12" s="12">
        <f t="shared" si="1"/>
        <v>43.999199999999995</v>
      </c>
      <c r="K12" s="8">
        <f t="shared" si="2"/>
        <v>46.731809761999997</v>
      </c>
      <c r="L12" s="18">
        <v>97000</v>
      </c>
      <c r="M12" s="8">
        <f t="shared" si="3"/>
        <v>249.99949999999998</v>
      </c>
      <c r="N12" s="8">
        <f t="shared" si="4"/>
        <v>186.99962599999998</v>
      </c>
      <c r="O12" s="8">
        <f t="shared" si="5"/>
        <v>60.999878000000002</v>
      </c>
      <c r="P12" s="8">
        <f t="shared" si="6"/>
        <v>1650.3083851471183</v>
      </c>
    </row>
    <row r="13" spans="1:16" ht="16.5" x14ac:dyDescent="0.25">
      <c r="B13" s="47" t="s">
        <v>111</v>
      </c>
      <c r="C13" s="5" t="s">
        <v>104</v>
      </c>
      <c r="D13" s="22">
        <v>1</v>
      </c>
      <c r="E13" s="6" t="s">
        <v>9</v>
      </c>
      <c r="F13" s="8">
        <f>9.8806</f>
        <v>9.8805999999999994</v>
      </c>
      <c r="G13" s="11">
        <v>4.0640000000000001</v>
      </c>
      <c r="H13" s="8">
        <v>1.524</v>
      </c>
      <c r="I13" s="8">
        <f t="shared" si="0"/>
        <v>44226</v>
      </c>
      <c r="J13" s="12">
        <f t="shared" si="1"/>
        <v>44.225999999999999</v>
      </c>
      <c r="K13" s="8">
        <f t="shared" si="2"/>
        <v>61.1958518016</v>
      </c>
      <c r="L13" s="18">
        <v>97500</v>
      </c>
      <c r="M13" s="8">
        <f t="shared" si="3"/>
        <v>388.99922199999997</v>
      </c>
      <c r="N13" s="8">
        <f t="shared" si="4"/>
        <v>159.99967999999998</v>
      </c>
      <c r="O13" s="8">
        <f t="shared" si="5"/>
        <v>59.999879999999997</v>
      </c>
      <c r="P13" s="8">
        <f t="shared" si="6"/>
        <v>2161.0981444703771</v>
      </c>
    </row>
    <row r="14" spans="1:16" ht="16.5" x14ac:dyDescent="0.25">
      <c r="B14" s="47" t="s">
        <v>112</v>
      </c>
      <c r="C14" s="5" t="s">
        <v>104</v>
      </c>
      <c r="D14" s="22">
        <v>1</v>
      </c>
      <c r="E14" s="6" t="s">
        <v>12</v>
      </c>
      <c r="F14" s="8">
        <v>9.8298000000000005</v>
      </c>
      <c r="G14" s="11">
        <v>4.0640000000000001</v>
      </c>
      <c r="H14" s="8">
        <v>1.6002000000000001</v>
      </c>
      <c r="I14" s="8">
        <f t="shared" si="0"/>
        <v>44226</v>
      </c>
      <c r="J14" s="12">
        <f t="shared" si="1"/>
        <v>44.225999999999999</v>
      </c>
      <c r="K14" s="8">
        <f t="shared" si="2"/>
        <v>63.925281181440006</v>
      </c>
      <c r="L14" s="18">
        <v>97500</v>
      </c>
      <c r="M14" s="8">
        <f t="shared" si="3"/>
        <v>386.99922600000002</v>
      </c>
      <c r="N14" s="8">
        <f t="shared" si="4"/>
        <v>159.99967999999998</v>
      </c>
      <c r="O14" s="8">
        <f t="shared" si="5"/>
        <v>62.999873999999998</v>
      </c>
      <c r="P14" s="8">
        <f t="shared" si="6"/>
        <v>2257.48645502709</v>
      </c>
    </row>
    <row r="15" spans="1:16" ht="16.5" x14ac:dyDescent="0.25">
      <c r="B15" s="47" t="s">
        <v>113</v>
      </c>
      <c r="C15" s="5" t="s">
        <v>104</v>
      </c>
      <c r="D15" s="22">
        <v>1</v>
      </c>
      <c r="E15" s="6" t="s">
        <v>11</v>
      </c>
      <c r="F15" s="8">
        <v>10.515599999999999</v>
      </c>
      <c r="G15" s="11">
        <v>4.4703999999999997</v>
      </c>
      <c r="H15" s="8">
        <v>1.397</v>
      </c>
      <c r="I15" s="8">
        <f t="shared" si="0"/>
        <v>45133.2</v>
      </c>
      <c r="J15" s="12">
        <f t="shared" si="1"/>
        <v>45.133199999999995</v>
      </c>
      <c r="K15" s="8">
        <f t="shared" si="2"/>
        <v>65.67148672127999</v>
      </c>
      <c r="L15" s="18">
        <v>99500</v>
      </c>
      <c r="M15" s="8">
        <f t="shared" si="3"/>
        <v>413.99917199999993</v>
      </c>
      <c r="N15" s="8">
        <f t="shared" si="4"/>
        <v>175.99964799999998</v>
      </c>
      <c r="O15" s="8">
        <f t="shared" si="5"/>
        <v>54.999890000000001</v>
      </c>
      <c r="P15" s="8">
        <f t="shared" si="6"/>
        <v>2319.1527516944961</v>
      </c>
    </row>
    <row r="16" spans="1:16" ht="16.5" x14ac:dyDescent="0.25">
      <c r="B16" s="47" t="s">
        <v>114</v>
      </c>
      <c r="C16" s="5" t="s">
        <v>104</v>
      </c>
      <c r="D16" s="22">
        <v>1</v>
      </c>
      <c r="E16" s="6" t="s">
        <v>172</v>
      </c>
      <c r="F16" s="8">
        <v>5.8928000000000003</v>
      </c>
      <c r="G16" s="8">
        <v>1.0668</v>
      </c>
      <c r="H16" s="8">
        <v>0.71120000000000005</v>
      </c>
      <c r="I16" s="8">
        <f t="shared" si="0"/>
        <v>3900.96</v>
      </c>
      <c r="J16" s="8">
        <f t="shared" si="1"/>
        <v>3.90096</v>
      </c>
      <c r="K16" s="8">
        <f t="shared" si="2"/>
        <v>4.4709154452480009</v>
      </c>
      <c r="L16" s="7">
        <v>8600</v>
      </c>
      <c r="M16" s="8">
        <f t="shared" si="3"/>
        <v>231.99953600000001</v>
      </c>
      <c r="N16" s="8">
        <f t="shared" si="4"/>
        <v>41.999915999999999</v>
      </c>
      <c r="O16" s="8">
        <f t="shared" si="5"/>
        <v>27.999943999999999</v>
      </c>
      <c r="P16" s="8">
        <f t="shared" si="6"/>
        <v>157.8879415574502</v>
      </c>
    </row>
    <row r="17" spans="2:16" ht="16.5" x14ac:dyDescent="0.25">
      <c r="B17" s="47" t="s">
        <v>183</v>
      </c>
      <c r="C17" s="5" t="s">
        <v>104</v>
      </c>
      <c r="D17" s="22">
        <v>1</v>
      </c>
      <c r="E17" s="61" t="s">
        <v>28</v>
      </c>
      <c r="F17" s="55">
        <v>12.35</v>
      </c>
      <c r="G17" s="55">
        <v>2.71</v>
      </c>
      <c r="H17" s="55">
        <v>2.74</v>
      </c>
      <c r="I17" s="8">
        <f t="shared" si="0"/>
        <v>10432.799999999999</v>
      </c>
      <c r="J17" s="8">
        <f t="shared" si="1"/>
        <v>10.432799999999999</v>
      </c>
      <c r="K17" s="8">
        <f t="shared" si="2"/>
        <v>91.703690000000009</v>
      </c>
      <c r="L17" s="56">
        <v>23000</v>
      </c>
      <c r="M17" s="8">
        <f t="shared" si="3"/>
        <v>486.21949999999998</v>
      </c>
      <c r="N17" s="8">
        <f t="shared" si="4"/>
        <v>106.69269999999999</v>
      </c>
      <c r="O17" s="8">
        <f t="shared" si="5"/>
        <v>107.8738</v>
      </c>
      <c r="P17" s="8">
        <f t="shared" si="6"/>
        <v>3238.4658186080701</v>
      </c>
    </row>
    <row r="18" spans="2:16" ht="16.5" x14ac:dyDescent="0.25">
      <c r="B18" s="47" t="s">
        <v>115</v>
      </c>
      <c r="C18" s="5" t="s">
        <v>104</v>
      </c>
      <c r="D18" s="22">
        <v>1</v>
      </c>
      <c r="E18" s="6" t="s">
        <v>7</v>
      </c>
      <c r="F18" s="8">
        <v>1.3715999999999999</v>
      </c>
      <c r="G18" s="8">
        <v>1.3715999999999999</v>
      </c>
      <c r="H18" s="8">
        <v>2.5908000000000002</v>
      </c>
      <c r="I18" s="8">
        <f t="shared" si="0"/>
        <v>3628.8</v>
      </c>
      <c r="J18" s="8">
        <f t="shared" si="1"/>
        <v>3.6288</v>
      </c>
      <c r="K18" s="8">
        <f t="shared" si="2"/>
        <v>4.8740372196479997</v>
      </c>
      <c r="L18" s="7">
        <v>8000</v>
      </c>
      <c r="M18" s="8">
        <f t="shared" si="3"/>
        <v>53.999891999999996</v>
      </c>
      <c r="N18" s="8">
        <f t="shared" si="4"/>
        <v>53.999891999999996</v>
      </c>
      <c r="O18" s="8">
        <f t="shared" si="5"/>
        <v>101.999796</v>
      </c>
      <c r="P18" s="8">
        <f t="shared" si="6"/>
        <v>172.12396725206548</v>
      </c>
    </row>
    <row r="19" spans="2:16" ht="16.5" x14ac:dyDescent="0.25">
      <c r="B19" s="47" t="s">
        <v>116</v>
      </c>
      <c r="C19" s="5" t="s">
        <v>104</v>
      </c>
      <c r="D19" s="22">
        <v>1</v>
      </c>
      <c r="E19" s="6" t="s">
        <v>24</v>
      </c>
      <c r="F19" s="8">
        <v>8.1280000000000001</v>
      </c>
      <c r="G19" s="8">
        <v>3.1496</v>
      </c>
      <c r="H19" s="8">
        <v>0.4572</v>
      </c>
      <c r="I19" s="8">
        <f t="shared" si="0"/>
        <v>1360.8</v>
      </c>
      <c r="J19" s="8">
        <f t="shared" si="1"/>
        <v>1.3608</v>
      </c>
      <c r="K19" s="8">
        <f t="shared" si="2"/>
        <v>11.70429659136</v>
      </c>
      <c r="L19" s="7">
        <v>3000</v>
      </c>
      <c r="M19" s="8">
        <f t="shared" si="3"/>
        <v>319.99935999999997</v>
      </c>
      <c r="N19" s="8">
        <f t="shared" si="4"/>
        <v>123.99975199999999</v>
      </c>
      <c r="O19" s="8">
        <f t="shared" si="5"/>
        <v>17.999963999999999</v>
      </c>
      <c r="P19" s="8">
        <f t="shared" si="6"/>
        <v>413.3308533382932</v>
      </c>
    </row>
    <row r="20" spans="2:16" ht="16.5" x14ac:dyDescent="0.25">
      <c r="B20" s="47" t="s">
        <v>117</v>
      </c>
      <c r="C20" s="5" t="s">
        <v>104</v>
      </c>
      <c r="D20" s="22">
        <v>1</v>
      </c>
      <c r="E20" s="6" t="s">
        <v>170</v>
      </c>
      <c r="F20" s="8">
        <v>5.6387999999999998</v>
      </c>
      <c r="G20" s="8">
        <v>3.1242000000000001</v>
      </c>
      <c r="H20" s="8">
        <v>0.30480000000000002</v>
      </c>
      <c r="I20" s="8">
        <f t="shared" si="0"/>
        <v>453.6</v>
      </c>
      <c r="J20" s="8">
        <f t="shared" si="1"/>
        <v>0.4536</v>
      </c>
      <c r="K20" s="8">
        <f t="shared" si="2"/>
        <v>5.3695820350080004</v>
      </c>
      <c r="L20" s="7">
        <v>1000</v>
      </c>
      <c r="M20" s="8">
        <f t="shared" si="3"/>
        <v>221.99955599999998</v>
      </c>
      <c r="N20" s="8">
        <f t="shared" si="4"/>
        <v>122.999754</v>
      </c>
      <c r="O20" s="8">
        <f t="shared" si="5"/>
        <v>11.999976</v>
      </c>
      <c r="P20" s="8">
        <f t="shared" si="6"/>
        <v>189.62386225227547</v>
      </c>
    </row>
    <row r="21" spans="2:16" ht="16.5" x14ac:dyDescent="0.25">
      <c r="B21" s="47" t="s">
        <v>118</v>
      </c>
      <c r="C21" s="5" t="s">
        <v>104</v>
      </c>
      <c r="D21" s="22">
        <v>1</v>
      </c>
      <c r="E21" s="6" t="s">
        <v>171</v>
      </c>
      <c r="F21" s="8">
        <v>5.3339999999999996</v>
      </c>
      <c r="G21" s="8">
        <v>3.1496</v>
      </c>
      <c r="H21" s="8">
        <v>0.30480000000000002</v>
      </c>
      <c r="I21" s="8">
        <f t="shared" si="0"/>
        <v>453.6</v>
      </c>
      <c r="J21" s="8">
        <f t="shared" si="1"/>
        <v>0.4536</v>
      </c>
      <c r="K21" s="8">
        <f t="shared" si="2"/>
        <v>5.1206297587199998</v>
      </c>
      <c r="L21" s="7">
        <v>1000</v>
      </c>
      <c r="M21" s="8">
        <f t="shared" si="3"/>
        <v>209.99957999999998</v>
      </c>
      <c r="N21" s="8">
        <f t="shared" si="4"/>
        <v>123.99975199999999</v>
      </c>
      <c r="O21" s="8">
        <f t="shared" si="5"/>
        <v>11.999976</v>
      </c>
      <c r="P21" s="8">
        <f t="shared" si="6"/>
        <v>180.83224833550332</v>
      </c>
    </row>
    <row r="22" spans="2:16" ht="16.5" x14ac:dyDescent="0.25">
      <c r="B22" s="47" t="s">
        <v>119</v>
      </c>
      <c r="C22" s="5" t="s">
        <v>104</v>
      </c>
      <c r="D22" s="5">
        <v>1</v>
      </c>
      <c r="E22" s="6" t="s">
        <v>27</v>
      </c>
      <c r="F22" s="8">
        <v>2.5</v>
      </c>
      <c r="G22" s="8">
        <v>2.1</v>
      </c>
      <c r="H22" s="8">
        <v>2.5</v>
      </c>
      <c r="I22" s="8">
        <f t="shared" si="0"/>
        <v>1995.84</v>
      </c>
      <c r="J22" s="8">
        <f t="shared" si="1"/>
        <v>1.9958399999999998</v>
      </c>
      <c r="K22" s="8">
        <f t="shared" si="2"/>
        <v>13.125</v>
      </c>
      <c r="L22" s="7">
        <f>4400</f>
        <v>4400</v>
      </c>
      <c r="M22" s="8">
        <f t="shared" si="3"/>
        <v>98.424999999999997</v>
      </c>
      <c r="N22" s="8">
        <f t="shared" si="4"/>
        <v>82.676999999999992</v>
      </c>
      <c r="O22" s="8">
        <f t="shared" si="5"/>
        <v>98.424999999999997</v>
      </c>
      <c r="P22" s="8">
        <f t="shared" si="6"/>
        <v>463.50221969509545</v>
      </c>
    </row>
    <row r="23" spans="2:16" ht="16.5" x14ac:dyDescent="0.25">
      <c r="B23" s="47" t="s">
        <v>120</v>
      </c>
      <c r="C23" s="5" t="s">
        <v>104</v>
      </c>
      <c r="D23" s="22">
        <v>1</v>
      </c>
      <c r="E23" s="6" t="s">
        <v>22</v>
      </c>
      <c r="F23" s="8">
        <v>2.4891999999999999</v>
      </c>
      <c r="G23" s="8">
        <v>1.905</v>
      </c>
      <c r="H23" s="8">
        <v>0.83819999999999995</v>
      </c>
      <c r="I23" s="8">
        <f t="shared" si="0"/>
        <v>4989.6000000000004</v>
      </c>
      <c r="J23" s="8">
        <f t="shared" si="1"/>
        <v>4.9896000000000003</v>
      </c>
      <c r="K23" s="8">
        <f t="shared" si="2"/>
        <v>3.9746823731999994</v>
      </c>
      <c r="L23" s="7">
        <v>11000</v>
      </c>
      <c r="M23" s="8">
        <f t="shared" si="3"/>
        <v>97.999803999999983</v>
      </c>
      <c r="N23" s="8">
        <f t="shared" si="4"/>
        <v>74.999849999999995</v>
      </c>
      <c r="O23" s="8">
        <f t="shared" si="5"/>
        <v>32.999933999999996</v>
      </c>
      <c r="P23" s="8">
        <f t="shared" si="6"/>
        <v>140.36374114751766</v>
      </c>
    </row>
    <row r="24" spans="2:16" ht="16.5" x14ac:dyDescent="0.25">
      <c r="B24" s="47" t="s">
        <v>121</v>
      </c>
      <c r="C24" s="5" t="s">
        <v>104</v>
      </c>
      <c r="D24" s="22">
        <v>1</v>
      </c>
      <c r="E24" s="6" t="s">
        <v>21</v>
      </c>
      <c r="F24" s="8">
        <v>5.7911999999999999</v>
      </c>
      <c r="G24" s="8">
        <v>1.0668</v>
      </c>
      <c r="H24" s="8">
        <v>0.33019999999999999</v>
      </c>
      <c r="I24" s="8">
        <f t="shared" si="0"/>
        <v>4989.6000000000004</v>
      </c>
      <c r="J24" s="8">
        <f t="shared" si="1"/>
        <v>4.9896000000000003</v>
      </c>
      <c r="K24" s="8">
        <f t="shared" si="2"/>
        <v>2.0399928232320002</v>
      </c>
      <c r="L24" s="7">
        <v>11000</v>
      </c>
      <c r="M24" s="8">
        <f t="shared" si="3"/>
        <v>227.99954399999999</v>
      </c>
      <c r="N24" s="8">
        <f t="shared" si="4"/>
        <v>41.999915999999999</v>
      </c>
      <c r="O24" s="8">
        <f t="shared" si="5"/>
        <v>12.999973999999998</v>
      </c>
      <c r="P24" s="8">
        <f t="shared" si="6"/>
        <v>72.041234417531143</v>
      </c>
    </row>
    <row r="25" spans="2:16" ht="16.5" x14ac:dyDescent="0.25">
      <c r="B25" s="47" t="s">
        <v>122</v>
      </c>
      <c r="C25" s="5" t="s">
        <v>104</v>
      </c>
      <c r="D25" s="22">
        <v>1</v>
      </c>
      <c r="E25" s="61" t="s">
        <v>37</v>
      </c>
      <c r="F25" s="58">
        <v>13.827999999999999</v>
      </c>
      <c r="G25" s="8">
        <v>3.45</v>
      </c>
      <c r="H25" s="11">
        <v>3.57</v>
      </c>
      <c r="I25" s="8">
        <f t="shared" si="0"/>
        <v>63504</v>
      </c>
      <c r="J25" s="11">
        <f t="shared" si="1"/>
        <v>63.503999999999998</v>
      </c>
      <c r="K25" s="8">
        <f t="shared" si="2"/>
        <v>170.31256199999999</v>
      </c>
      <c r="L25" s="17">
        <v>140000</v>
      </c>
      <c r="M25" s="8">
        <f t="shared" si="3"/>
        <v>544.4083599999999</v>
      </c>
      <c r="N25" s="8">
        <f t="shared" si="4"/>
        <v>135.82650000000001</v>
      </c>
      <c r="O25" s="8">
        <f t="shared" si="5"/>
        <v>140.55089999999998</v>
      </c>
      <c r="P25" s="8">
        <f t="shared" si="6"/>
        <v>6014.495278396842</v>
      </c>
    </row>
    <row r="26" spans="2:16" ht="16.5" x14ac:dyDescent="0.25">
      <c r="B26" s="47" t="s">
        <v>123</v>
      </c>
      <c r="C26" s="5" t="s">
        <v>104</v>
      </c>
      <c r="D26" s="22">
        <v>1</v>
      </c>
      <c r="E26" s="6" t="s">
        <v>23</v>
      </c>
      <c r="F26" s="8">
        <v>5.3593999999999999</v>
      </c>
      <c r="G26" s="8">
        <v>3.3273999999999999</v>
      </c>
      <c r="H26" s="8">
        <v>0.73660000000000003</v>
      </c>
      <c r="I26" s="8">
        <f t="shared" si="0"/>
        <v>2268</v>
      </c>
      <c r="J26" s="8">
        <f t="shared" si="1"/>
        <v>2.2679999999999998</v>
      </c>
      <c r="K26" s="8">
        <f t="shared" si="2"/>
        <v>13.135690244696001</v>
      </c>
      <c r="L26" s="7">
        <v>5000</v>
      </c>
      <c r="M26" s="8">
        <f t="shared" si="3"/>
        <v>210.99957799999999</v>
      </c>
      <c r="N26" s="8">
        <f t="shared" si="4"/>
        <v>130.99973799999998</v>
      </c>
      <c r="O26" s="8">
        <f t="shared" si="5"/>
        <v>28.999942000000001</v>
      </c>
      <c r="P26" s="8">
        <f t="shared" si="6"/>
        <v>463.87973985857576</v>
      </c>
    </row>
    <row r="27" spans="2:16" ht="16.5" x14ac:dyDescent="0.25">
      <c r="B27" s="47" t="s">
        <v>124</v>
      </c>
      <c r="C27" s="5" t="s">
        <v>104</v>
      </c>
      <c r="D27" s="5">
        <v>1</v>
      </c>
      <c r="E27" s="6" t="s">
        <v>166</v>
      </c>
      <c r="F27" s="8">
        <v>9.6519999999999992</v>
      </c>
      <c r="G27" s="12">
        <v>3.7</v>
      </c>
      <c r="H27" s="8">
        <v>2.3949999999999996</v>
      </c>
      <c r="I27" s="8">
        <f t="shared" si="0"/>
        <v>7257.6</v>
      </c>
      <c r="J27" s="8">
        <f t="shared" si="1"/>
        <v>7.2576000000000001</v>
      </c>
      <c r="K27" s="8">
        <f t="shared" si="2"/>
        <v>85.531197999999989</v>
      </c>
      <c r="L27" s="7">
        <v>16000</v>
      </c>
      <c r="M27" s="8">
        <f t="shared" si="3"/>
        <v>379.99923999999993</v>
      </c>
      <c r="N27" s="8">
        <f t="shared" si="4"/>
        <v>145.66900000000001</v>
      </c>
      <c r="O27" s="8">
        <f t="shared" si="5"/>
        <v>94.291149999999973</v>
      </c>
      <c r="P27" s="8">
        <f t="shared" si="6"/>
        <v>3020.4876286613867</v>
      </c>
    </row>
    <row r="28" spans="2:16" ht="16.5" x14ac:dyDescent="0.25">
      <c r="B28" s="47" t="s">
        <v>125</v>
      </c>
      <c r="C28" s="5" t="s">
        <v>104</v>
      </c>
      <c r="D28" s="5">
        <v>1</v>
      </c>
      <c r="E28" s="6" t="s">
        <v>167</v>
      </c>
      <c r="F28" s="8">
        <v>8.2200000000000006</v>
      </c>
      <c r="G28" s="12">
        <v>3.7</v>
      </c>
      <c r="H28" s="8">
        <v>2.4299999999999997</v>
      </c>
      <c r="I28" s="8">
        <f t="shared" si="0"/>
        <v>7257.6</v>
      </c>
      <c r="J28" s="8">
        <f t="shared" si="1"/>
        <v>7.2576000000000001</v>
      </c>
      <c r="K28" s="8">
        <f t="shared" si="2"/>
        <v>73.906019999999998</v>
      </c>
      <c r="L28" s="7">
        <v>16000</v>
      </c>
      <c r="M28" s="8">
        <f t="shared" si="3"/>
        <v>323.62139999999999</v>
      </c>
      <c r="N28" s="8">
        <f t="shared" si="4"/>
        <v>145.66900000000001</v>
      </c>
      <c r="O28" s="8">
        <f t="shared" si="5"/>
        <v>95.669099999999986</v>
      </c>
      <c r="P28" s="8">
        <f t="shared" si="6"/>
        <v>2609.9508052441993</v>
      </c>
    </row>
    <row r="29" spans="2:16" ht="16.5" x14ac:dyDescent="0.25">
      <c r="B29" s="47" t="s">
        <v>126</v>
      </c>
      <c r="C29" s="5" t="s">
        <v>104</v>
      </c>
      <c r="D29" s="5">
        <v>1</v>
      </c>
      <c r="E29" s="61" t="s">
        <v>168</v>
      </c>
      <c r="F29" s="8">
        <v>6.0198</v>
      </c>
      <c r="G29" s="12">
        <v>3.7</v>
      </c>
      <c r="H29" s="8">
        <v>2.4299999999999997</v>
      </c>
      <c r="I29" s="8">
        <f t="shared" si="0"/>
        <v>6804</v>
      </c>
      <c r="J29" s="8">
        <f t="shared" si="1"/>
        <v>6.8040000000000003</v>
      </c>
      <c r="K29" s="8">
        <f t="shared" si="2"/>
        <v>54.124021799999994</v>
      </c>
      <c r="L29" s="56">
        <v>15000</v>
      </c>
      <c r="M29" s="8">
        <f t="shared" si="3"/>
        <v>236.99952599999997</v>
      </c>
      <c r="N29" s="8">
        <f t="shared" si="4"/>
        <v>145.66900000000001</v>
      </c>
      <c r="O29" s="8">
        <f t="shared" si="5"/>
        <v>95.669099999999986</v>
      </c>
      <c r="P29" s="8">
        <f t="shared" si="6"/>
        <v>1911.3603232857702</v>
      </c>
    </row>
    <row r="30" spans="2:16" ht="16.5" x14ac:dyDescent="0.25">
      <c r="B30" s="47" t="s">
        <v>127</v>
      </c>
      <c r="C30" s="5" t="s">
        <v>104</v>
      </c>
      <c r="D30" s="5">
        <v>1</v>
      </c>
      <c r="E30" s="61" t="s">
        <v>169</v>
      </c>
      <c r="F30" s="8">
        <v>5.6896000000000004</v>
      </c>
      <c r="G30" s="8">
        <v>3.22</v>
      </c>
      <c r="H30" s="8">
        <v>2.1</v>
      </c>
      <c r="I30" s="8">
        <f t="shared" si="0"/>
        <v>6804</v>
      </c>
      <c r="J30" s="8">
        <f t="shared" si="1"/>
        <v>6.8040000000000003</v>
      </c>
      <c r="K30" s="8">
        <f t="shared" si="2"/>
        <v>38.473075200000004</v>
      </c>
      <c r="L30" s="56">
        <v>15000</v>
      </c>
      <c r="M30" s="8">
        <f t="shared" si="3"/>
        <v>223.99955199999999</v>
      </c>
      <c r="N30" s="8">
        <f t="shared" si="4"/>
        <v>126.7714</v>
      </c>
      <c r="O30" s="8">
        <f t="shared" si="5"/>
        <v>82.676999999999992</v>
      </c>
      <c r="P30" s="8">
        <f t="shared" si="6"/>
        <v>1358.655676472101</v>
      </c>
    </row>
    <row r="31" spans="2:16" ht="16.5" x14ac:dyDescent="0.25">
      <c r="B31" s="47" t="s">
        <v>128</v>
      </c>
      <c r="C31" s="5" t="s">
        <v>104</v>
      </c>
      <c r="D31" s="22">
        <v>1</v>
      </c>
      <c r="E31" s="61" t="s">
        <v>34</v>
      </c>
      <c r="F31" s="9">
        <v>17.760000000000002</v>
      </c>
      <c r="G31" s="58">
        <v>3.88</v>
      </c>
      <c r="H31" s="8">
        <v>2.58</v>
      </c>
      <c r="I31" s="8">
        <f t="shared" si="0"/>
        <v>53524.800000000003</v>
      </c>
      <c r="J31" s="12">
        <f t="shared" si="1"/>
        <v>53.524800000000006</v>
      </c>
      <c r="K31" s="8">
        <f t="shared" si="2"/>
        <v>177.784704</v>
      </c>
      <c r="L31" s="18">
        <v>118000</v>
      </c>
      <c r="M31" s="8">
        <f t="shared" si="3"/>
        <v>699.21119999999996</v>
      </c>
      <c r="N31" s="8">
        <f t="shared" si="4"/>
        <v>152.75559999999999</v>
      </c>
      <c r="O31" s="8">
        <f t="shared" si="5"/>
        <v>101.57459999999999</v>
      </c>
      <c r="P31" s="8">
        <f t="shared" si="6"/>
        <v>6278.3698995684199</v>
      </c>
    </row>
    <row r="32" spans="2:16" ht="16.5" x14ac:dyDescent="0.25">
      <c r="B32" s="47" t="s">
        <v>129</v>
      </c>
      <c r="C32" s="5" t="s">
        <v>104</v>
      </c>
      <c r="D32" s="22">
        <v>1</v>
      </c>
      <c r="E32" s="61" t="s">
        <v>30</v>
      </c>
      <c r="F32" s="57">
        <v>14.4</v>
      </c>
      <c r="G32" s="12">
        <v>3.6</v>
      </c>
      <c r="H32" s="11">
        <v>3.41</v>
      </c>
      <c r="I32" s="8">
        <f t="shared" si="0"/>
        <v>96163.199999999997</v>
      </c>
      <c r="J32" s="9">
        <f t="shared" si="1"/>
        <v>96.163200000000003</v>
      </c>
      <c r="K32" s="8">
        <f t="shared" si="2"/>
        <v>176.77440000000001</v>
      </c>
      <c r="L32" s="16">
        <v>212000</v>
      </c>
      <c r="M32" s="8">
        <f t="shared" si="3"/>
        <v>566.928</v>
      </c>
      <c r="N32" s="8">
        <f t="shared" si="4"/>
        <v>141.732</v>
      </c>
      <c r="O32" s="8">
        <f t="shared" si="5"/>
        <v>134.2517</v>
      </c>
      <c r="P32" s="8">
        <f t="shared" si="6"/>
        <v>6242.6915645918998</v>
      </c>
    </row>
    <row r="33" spans="2:16" ht="16.5" x14ac:dyDescent="0.25">
      <c r="B33" s="47" t="s">
        <v>130</v>
      </c>
      <c r="C33" s="5" t="s">
        <v>104</v>
      </c>
      <c r="D33" s="22">
        <v>1</v>
      </c>
      <c r="E33" s="61" t="s">
        <v>51</v>
      </c>
      <c r="F33" s="55">
        <v>9.2899999999999991</v>
      </c>
      <c r="G33" s="57">
        <v>4.2300000000000004</v>
      </c>
      <c r="H33" s="12">
        <v>2.9969999999999999</v>
      </c>
      <c r="I33" s="8">
        <f t="shared" si="0"/>
        <v>85730.4</v>
      </c>
      <c r="J33" s="9">
        <f t="shared" si="1"/>
        <v>85.730399999999989</v>
      </c>
      <c r="K33" s="8">
        <f t="shared" si="2"/>
        <v>117.77220989999999</v>
      </c>
      <c r="L33" s="60">
        <v>189000</v>
      </c>
      <c r="M33" s="8">
        <f t="shared" si="3"/>
        <v>365.74729999999994</v>
      </c>
      <c r="N33" s="8">
        <f t="shared" si="4"/>
        <v>166.5351</v>
      </c>
      <c r="O33" s="8">
        <f t="shared" si="5"/>
        <v>117.99188999999998</v>
      </c>
      <c r="P33" s="8">
        <f t="shared" si="6"/>
        <v>4159.0613872035565</v>
      </c>
    </row>
    <row r="34" spans="2:16" ht="16.5" x14ac:dyDescent="0.25">
      <c r="B34" s="47" t="s">
        <v>131</v>
      </c>
      <c r="C34" s="5" t="s">
        <v>104</v>
      </c>
      <c r="D34" s="22">
        <v>1</v>
      </c>
      <c r="E34" s="61" t="s">
        <v>45</v>
      </c>
      <c r="F34" s="55">
        <v>6.11</v>
      </c>
      <c r="G34" s="55">
        <v>2.56</v>
      </c>
      <c r="H34" s="55">
        <v>2.75</v>
      </c>
      <c r="I34" s="8">
        <f t="shared" si="0"/>
        <v>11793.6</v>
      </c>
      <c r="J34" s="8">
        <f t="shared" si="1"/>
        <v>11.7936</v>
      </c>
      <c r="K34" s="8">
        <f t="shared" si="2"/>
        <v>43.014400000000002</v>
      </c>
      <c r="L34" s="56">
        <v>26000</v>
      </c>
      <c r="M34" s="8">
        <f t="shared" si="3"/>
        <v>240.55070000000001</v>
      </c>
      <c r="N34" s="8">
        <f t="shared" si="4"/>
        <v>100.7872</v>
      </c>
      <c r="O34" s="8">
        <f t="shared" si="5"/>
        <v>108.2675</v>
      </c>
      <c r="P34" s="8">
        <f t="shared" si="6"/>
        <v>1519.0300860078262</v>
      </c>
    </row>
    <row r="35" spans="2:16" ht="16.5" x14ac:dyDescent="0.25">
      <c r="B35" s="47" t="s">
        <v>132</v>
      </c>
      <c r="C35" s="5" t="s">
        <v>104</v>
      </c>
      <c r="D35" s="22">
        <v>1</v>
      </c>
      <c r="E35" s="61" t="s">
        <v>29</v>
      </c>
      <c r="F35" s="9">
        <v>17.760000000000002</v>
      </c>
      <c r="G35" s="55">
        <v>2.6150000000000002</v>
      </c>
      <c r="H35" s="8">
        <v>2.58</v>
      </c>
      <c r="I35" s="8">
        <f t="shared" si="0"/>
        <v>29030.400000000001</v>
      </c>
      <c r="J35" s="8">
        <f t="shared" si="1"/>
        <v>29.0304</v>
      </c>
      <c r="K35" s="8">
        <f t="shared" si="2"/>
        <v>119.82139200000002</v>
      </c>
      <c r="L35" s="56">
        <v>64000</v>
      </c>
      <c r="M35" s="8">
        <f t="shared" si="3"/>
        <v>699.21119999999996</v>
      </c>
      <c r="N35" s="8">
        <f t="shared" si="4"/>
        <v>102.95255</v>
      </c>
      <c r="O35" s="8">
        <f t="shared" si="5"/>
        <v>101.57459999999999</v>
      </c>
      <c r="P35" s="8">
        <f t="shared" si="6"/>
        <v>4231.4271359204686</v>
      </c>
    </row>
    <row r="36" spans="2:16" ht="16.5" x14ac:dyDescent="0.25">
      <c r="B36" s="47" t="s">
        <v>133</v>
      </c>
      <c r="C36" s="5" t="s">
        <v>104</v>
      </c>
      <c r="D36" s="22">
        <v>1</v>
      </c>
      <c r="E36" s="6" t="s">
        <v>47</v>
      </c>
      <c r="F36" s="8">
        <v>5.4</v>
      </c>
      <c r="G36" s="9">
        <v>4.74</v>
      </c>
      <c r="H36" s="8">
        <v>2.74</v>
      </c>
      <c r="I36" s="8">
        <f t="shared" si="0"/>
        <v>10432.799999999999</v>
      </c>
      <c r="J36" s="8">
        <f t="shared" si="1"/>
        <v>10.432799999999999</v>
      </c>
      <c r="K36" s="8">
        <f t="shared" si="2"/>
        <v>70.133040000000022</v>
      </c>
      <c r="L36" s="7">
        <v>23000</v>
      </c>
      <c r="M36" s="8">
        <f t="shared" si="3"/>
        <v>212.59800000000001</v>
      </c>
      <c r="N36" s="8">
        <f t="shared" si="4"/>
        <v>186.6138</v>
      </c>
      <c r="O36" s="8">
        <f t="shared" si="5"/>
        <v>107.8738</v>
      </c>
      <c r="P36" s="8">
        <f t="shared" si="6"/>
        <v>2476.7100734449464</v>
      </c>
    </row>
    <row r="37" spans="2:16" ht="16.5" x14ac:dyDescent="0.25">
      <c r="B37" s="47" t="s">
        <v>134</v>
      </c>
      <c r="C37" s="5" t="s">
        <v>104</v>
      </c>
      <c r="D37" s="22">
        <v>1</v>
      </c>
      <c r="E37" s="6" t="s">
        <v>46</v>
      </c>
      <c r="F37" s="8">
        <v>3.17</v>
      </c>
      <c r="G37" s="8">
        <v>2.1800000000000002</v>
      </c>
      <c r="H37" s="10">
        <v>2.9</v>
      </c>
      <c r="I37" s="8">
        <f t="shared" si="0"/>
        <v>2907.2335320000002</v>
      </c>
      <c r="J37" s="8">
        <f t="shared" si="1"/>
        <v>2.9072335320000002</v>
      </c>
      <c r="K37" s="8">
        <f t="shared" si="2"/>
        <v>20.04074</v>
      </c>
      <c r="L37" s="7">
        <v>6409.2449999999999</v>
      </c>
      <c r="M37" s="8">
        <f t="shared" si="3"/>
        <v>124.80289999999999</v>
      </c>
      <c r="N37" s="8">
        <f t="shared" si="4"/>
        <v>85.826599999999999</v>
      </c>
      <c r="O37" s="8">
        <f t="shared" si="5"/>
        <v>114.17299999999999</v>
      </c>
      <c r="P37" s="8">
        <f t="shared" si="6"/>
        <v>707.72780756817417</v>
      </c>
    </row>
    <row r="38" spans="2:16" ht="16.5" x14ac:dyDescent="0.25">
      <c r="B38" s="47" t="s">
        <v>135</v>
      </c>
      <c r="C38" s="5" t="s">
        <v>104</v>
      </c>
      <c r="D38" s="22">
        <v>1</v>
      </c>
      <c r="E38" s="61" t="s">
        <v>43</v>
      </c>
      <c r="F38" s="8">
        <v>5.43</v>
      </c>
      <c r="G38" s="59">
        <v>5.61</v>
      </c>
      <c r="H38" s="12">
        <v>3.048</v>
      </c>
      <c r="I38" s="8">
        <f t="shared" si="0"/>
        <v>20003.759999999998</v>
      </c>
      <c r="J38" s="8">
        <f t="shared" si="1"/>
        <v>20.00376</v>
      </c>
      <c r="K38" s="8">
        <f t="shared" si="2"/>
        <v>92.849090399999994</v>
      </c>
      <c r="L38" s="7">
        <v>44100</v>
      </c>
      <c r="M38" s="8">
        <f t="shared" si="3"/>
        <v>213.77909999999997</v>
      </c>
      <c r="N38" s="8">
        <f t="shared" si="4"/>
        <v>220.8657</v>
      </c>
      <c r="O38" s="8">
        <f t="shared" si="5"/>
        <v>119.99975999999999</v>
      </c>
      <c r="P38" s="8">
        <f t="shared" si="6"/>
        <v>3278.9150093006151</v>
      </c>
    </row>
    <row r="39" spans="2:16" ht="16.5" x14ac:dyDescent="0.25">
      <c r="B39" s="47" t="s">
        <v>136</v>
      </c>
      <c r="C39" s="5" t="s">
        <v>104</v>
      </c>
      <c r="D39" s="22">
        <v>1</v>
      </c>
      <c r="E39" s="6" t="s">
        <v>52</v>
      </c>
      <c r="F39" s="8">
        <v>5.43</v>
      </c>
      <c r="G39" s="8">
        <v>2.68</v>
      </c>
      <c r="H39" s="10">
        <v>2.8956</v>
      </c>
      <c r="I39" s="8">
        <f t="shared" ref="I39:I64" si="7">L39*0.4536</f>
        <v>24494.400000000001</v>
      </c>
      <c r="J39" s="8">
        <f t="shared" ref="J39:J64" si="8">I39/1000</f>
        <v>24.494400000000002</v>
      </c>
      <c r="K39" s="8">
        <f t="shared" ref="K39:K64" si="9">F39*G39*H39</f>
        <v>42.137929440000001</v>
      </c>
      <c r="L39" s="7">
        <v>54000</v>
      </c>
      <c r="M39" s="8">
        <f t="shared" ref="M39:M64" si="10">F39*39.37</f>
        <v>213.77909999999997</v>
      </c>
      <c r="N39" s="8">
        <f t="shared" ref="N39:N64" si="11">G39*39.37</f>
        <v>105.5116</v>
      </c>
      <c r="O39" s="8">
        <f t="shared" ref="O39:O64" si="12">H39*39.37</f>
        <v>113.99977199999999</v>
      </c>
      <c r="P39" s="8">
        <f t="shared" ref="P39:P64" si="13">M39*N39*O39/1728</f>
        <v>1488.0780060034522</v>
      </c>
    </row>
    <row r="40" spans="2:16" ht="16.5" x14ac:dyDescent="0.25">
      <c r="B40" s="47" t="s">
        <v>137</v>
      </c>
      <c r="C40" s="5" t="s">
        <v>104</v>
      </c>
      <c r="D40" s="22">
        <v>1</v>
      </c>
      <c r="E40" s="6" t="s">
        <v>44</v>
      </c>
      <c r="F40" s="8">
        <v>5.43</v>
      </c>
      <c r="G40" s="8">
        <v>2.95</v>
      </c>
      <c r="H40" s="8">
        <v>2.64</v>
      </c>
      <c r="I40" s="8">
        <f t="shared" si="7"/>
        <v>22679.86392</v>
      </c>
      <c r="J40" s="8">
        <f t="shared" si="8"/>
        <v>22.679863919999999</v>
      </c>
      <c r="K40" s="8">
        <f t="shared" si="9"/>
        <v>42.28884</v>
      </c>
      <c r="L40" s="7">
        <v>49999.7</v>
      </c>
      <c r="M40" s="8">
        <f t="shared" si="10"/>
        <v>213.77909999999997</v>
      </c>
      <c r="N40" s="8">
        <f t="shared" si="11"/>
        <v>116.14149999999999</v>
      </c>
      <c r="O40" s="8">
        <f t="shared" si="12"/>
        <v>103.93680000000001</v>
      </c>
      <c r="P40" s="8">
        <f t="shared" si="13"/>
        <v>1493.4073301585324</v>
      </c>
    </row>
    <row r="41" spans="2:16" ht="16.5" x14ac:dyDescent="0.25">
      <c r="B41" s="47" t="s">
        <v>138</v>
      </c>
      <c r="C41" s="5" t="s">
        <v>104</v>
      </c>
      <c r="D41" s="22">
        <v>1</v>
      </c>
      <c r="E41" s="6" t="s">
        <v>48</v>
      </c>
      <c r="F41" s="8">
        <v>5.4</v>
      </c>
      <c r="G41" s="9">
        <v>4.74</v>
      </c>
      <c r="H41" s="8">
        <v>2.74</v>
      </c>
      <c r="I41" s="8">
        <f t="shared" si="7"/>
        <v>10432.799999999999</v>
      </c>
      <c r="J41" s="8">
        <f t="shared" si="8"/>
        <v>10.432799999999999</v>
      </c>
      <c r="K41" s="8">
        <f t="shared" si="9"/>
        <v>70.133040000000022</v>
      </c>
      <c r="L41" s="7">
        <v>23000</v>
      </c>
      <c r="M41" s="8">
        <f t="shared" si="10"/>
        <v>212.59800000000001</v>
      </c>
      <c r="N41" s="8">
        <f t="shared" si="11"/>
        <v>186.6138</v>
      </c>
      <c r="O41" s="8">
        <f t="shared" si="12"/>
        <v>107.8738</v>
      </c>
      <c r="P41" s="8">
        <f t="shared" si="13"/>
        <v>2476.7100734449464</v>
      </c>
    </row>
    <row r="42" spans="2:16" ht="16.5" x14ac:dyDescent="0.25">
      <c r="B42" s="47" t="s">
        <v>139</v>
      </c>
      <c r="C42" s="5" t="s">
        <v>104</v>
      </c>
      <c r="D42" s="22">
        <v>1</v>
      </c>
      <c r="E42" s="6" t="s">
        <v>49</v>
      </c>
      <c r="F42" s="8">
        <v>3.17</v>
      </c>
      <c r="G42" s="8">
        <v>2.1800000000000002</v>
      </c>
      <c r="H42" s="10">
        <v>2.9</v>
      </c>
      <c r="I42" s="8">
        <f t="shared" si="7"/>
        <v>2907.2335320000002</v>
      </c>
      <c r="J42" s="8">
        <f t="shared" si="8"/>
        <v>2.9072335320000002</v>
      </c>
      <c r="K42" s="8">
        <f t="shared" si="9"/>
        <v>20.04074</v>
      </c>
      <c r="L42" s="7">
        <v>6409.2449999999999</v>
      </c>
      <c r="M42" s="8">
        <f t="shared" si="10"/>
        <v>124.80289999999999</v>
      </c>
      <c r="N42" s="8">
        <f t="shared" si="11"/>
        <v>85.826599999999999</v>
      </c>
      <c r="O42" s="8">
        <f t="shared" si="12"/>
        <v>114.17299999999999</v>
      </c>
      <c r="P42" s="8">
        <f t="shared" si="13"/>
        <v>707.72780756817417</v>
      </c>
    </row>
    <row r="43" spans="2:16" ht="16.5" x14ac:dyDescent="0.25">
      <c r="B43" s="47" t="s">
        <v>140</v>
      </c>
      <c r="C43" s="5" t="s">
        <v>104</v>
      </c>
      <c r="D43" s="22">
        <v>1</v>
      </c>
      <c r="E43" s="61" t="s">
        <v>35</v>
      </c>
      <c r="F43" s="57">
        <v>15.4</v>
      </c>
      <c r="G43" s="12">
        <v>3.55</v>
      </c>
      <c r="H43" s="9">
        <v>4.0640000000000001</v>
      </c>
      <c r="I43" s="8">
        <f t="shared" si="7"/>
        <v>116001.8496</v>
      </c>
      <c r="J43" s="9">
        <f t="shared" si="8"/>
        <v>116.0018496</v>
      </c>
      <c r="K43" s="8">
        <f t="shared" si="9"/>
        <v>222.17888000000002</v>
      </c>
      <c r="L43" s="16">
        <v>255736</v>
      </c>
      <c r="M43" s="8">
        <f t="shared" si="10"/>
        <v>606.298</v>
      </c>
      <c r="N43" s="8">
        <f t="shared" si="11"/>
        <v>139.76349999999999</v>
      </c>
      <c r="O43" s="8">
        <f t="shared" si="12"/>
        <v>159.99967999999998</v>
      </c>
      <c r="P43" s="8">
        <f t="shared" si="13"/>
        <v>7846.1260228091614</v>
      </c>
    </row>
    <row r="44" spans="2:16" ht="16.5" x14ac:dyDescent="0.25">
      <c r="B44" s="47" t="s">
        <v>141</v>
      </c>
      <c r="C44" s="5" t="s">
        <v>104</v>
      </c>
      <c r="D44" s="22">
        <v>1</v>
      </c>
      <c r="E44" s="61" t="s">
        <v>36</v>
      </c>
      <c r="F44" s="57">
        <v>15.4</v>
      </c>
      <c r="G44" s="8">
        <v>3.1349999999999998</v>
      </c>
      <c r="H44" s="12">
        <v>3.04</v>
      </c>
      <c r="I44" s="8">
        <f t="shared" si="7"/>
        <v>34029.148658400001</v>
      </c>
      <c r="J44" s="10">
        <f t="shared" si="8"/>
        <v>34.029148658400004</v>
      </c>
      <c r="K44" s="8">
        <f t="shared" si="9"/>
        <v>146.76815999999999</v>
      </c>
      <c r="L44" s="19">
        <v>75020.168999999994</v>
      </c>
      <c r="M44" s="8">
        <f t="shared" si="10"/>
        <v>606.298</v>
      </c>
      <c r="N44" s="8">
        <f t="shared" si="11"/>
        <v>123.42494999999998</v>
      </c>
      <c r="O44" s="8">
        <f t="shared" si="12"/>
        <v>119.6848</v>
      </c>
      <c r="P44" s="8">
        <f t="shared" si="13"/>
        <v>5183.0375573763749</v>
      </c>
    </row>
    <row r="45" spans="2:16" ht="16.5" x14ac:dyDescent="0.25">
      <c r="B45" s="47" t="s">
        <v>142</v>
      </c>
      <c r="C45" s="5" t="s">
        <v>104</v>
      </c>
      <c r="D45" s="22">
        <v>1</v>
      </c>
      <c r="E45" s="61" t="s">
        <v>38</v>
      </c>
      <c r="F45" s="57">
        <v>15.4</v>
      </c>
      <c r="G45" s="8">
        <v>2.94</v>
      </c>
      <c r="H45" s="11">
        <v>3.43</v>
      </c>
      <c r="I45" s="8">
        <f t="shared" si="7"/>
        <v>67001.119920000012</v>
      </c>
      <c r="J45" s="11">
        <f t="shared" si="8"/>
        <v>67.001119920000008</v>
      </c>
      <c r="K45" s="8">
        <f t="shared" si="9"/>
        <v>155.29668000000001</v>
      </c>
      <c r="L45" s="17">
        <v>147709.70000000001</v>
      </c>
      <c r="M45" s="8">
        <f t="shared" si="10"/>
        <v>606.298</v>
      </c>
      <c r="N45" s="8">
        <f t="shared" si="11"/>
        <v>115.74779999999998</v>
      </c>
      <c r="O45" s="8">
        <f t="shared" si="12"/>
        <v>135.03909999999999</v>
      </c>
      <c r="P45" s="8">
        <f t="shared" si="13"/>
        <v>5484.2175917164896</v>
      </c>
    </row>
    <row r="46" spans="2:16" ht="16.5" x14ac:dyDescent="0.25">
      <c r="B46" s="47" t="s">
        <v>143</v>
      </c>
      <c r="C46" s="5" t="s">
        <v>104</v>
      </c>
      <c r="D46" s="22">
        <v>1</v>
      </c>
      <c r="E46" s="61" t="s">
        <v>50</v>
      </c>
      <c r="F46" s="55">
        <v>9.06</v>
      </c>
      <c r="G46" s="57">
        <v>4.2300000000000004</v>
      </c>
      <c r="H46" s="12">
        <v>2.9969999999999999</v>
      </c>
      <c r="I46" s="8">
        <f t="shared" si="7"/>
        <v>83916</v>
      </c>
      <c r="J46" s="9">
        <f t="shared" si="8"/>
        <v>83.915999999999997</v>
      </c>
      <c r="K46" s="8">
        <f t="shared" si="9"/>
        <v>114.85642860000002</v>
      </c>
      <c r="L46" s="60">
        <v>185000</v>
      </c>
      <c r="M46" s="8">
        <f t="shared" si="10"/>
        <v>356.69220000000001</v>
      </c>
      <c r="N46" s="8">
        <f t="shared" si="11"/>
        <v>166.5351</v>
      </c>
      <c r="O46" s="8">
        <f t="shared" si="12"/>
        <v>117.99188999999998</v>
      </c>
      <c r="P46" s="8">
        <f t="shared" si="13"/>
        <v>4056.0921601791424</v>
      </c>
    </row>
    <row r="47" spans="2:16" ht="16.5" x14ac:dyDescent="0.25">
      <c r="B47" s="47" t="s">
        <v>144</v>
      </c>
      <c r="C47" s="5" t="s">
        <v>104</v>
      </c>
      <c r="D47" s="22">
        <v>1</v>
      </c>
      <c r="E47" s="6" t="s">
        <v>20</v>
      </c>
      <c r="F47" s="8">
        <v>5.8166000000000002</v>
      </c>
      <c r="G47" s="9">
        <v>5.1562000000000001</v>
      </c>
      <c r="H47" s="8">
        <v>0.73660000000000003</v>
      </c>
      <c r="I47" s="8">
        <f t="shared" si="7"/>
        <v>3175.2</v>
      </c>
      <c r="J47" s="8">
        <f t="shared" si="8"/>
        <v>3.1751999999999998</v>
      </c>
      <c r="K47" s="8">
        <f t="shared" si="9"/>
        <v>22.091777880872002</v>
      </c>
      <c r="L47" s="7">
        <v>7000</v>
      </c>
      <c r="M47" s="8">
        <f t="shared" si="10"/>
        <v>228.99954199999999</v>
      </c>
      <c r="N47" s="8">
        <f t="shared" si="11"/>
        <v>202.999594</v>
      </c>
      <c r="O47" s="8">
        <f t="shared" si="12"/>
        <v>28.999942000000001</v>
      </c>
      <c r="P47" s="8">
        <f t="shared" si="13"/>
        <v>780.15909217487126</v>
      </c>
    </row>
    <row r="48" spans="2:16" ht="16.5" x14ac:dyDescent="0.25">
      <c r="B48" s="47" t="s">
        <v>145</v>
      </c>
      <c r="C48" s="5" t="s">
        <v>104</v>
      </c>
      <c r="D48" s="22">
        <v>1</v>
      </c>
      <c r="E48" s="6" t="s">
        <v>13</v>
      </c>
      <c r="F48" s="8">
        <v>5.6134000000000004</v>
      </c>
      <c r="G48" s="8">
        <v>3.4289999999999998</v>
      </c>
      <c r="H48" s="8">
        <v>0.63500000000000001</v>
      </c>
      <c r="I48" s="8">
        <f t="shared" si="7"/>
        <v>1360.8</v>
      </c>
      <c r="J48" s="8">
        <f t="shared" si="8"/>
        <v>1.3608</v>
      </c>
      <c r="K48" s="8">
        <f t="shared" si="9"/>
        <v>12.222701361</v>
      </c>
      <c r="L48" s="7">
        <v>3000</v>
      </c>
      <c r="M48" s="8">
        <f t="shared" si="10"/>
        <v>220.99955800000001</v>
      </c>
      <c r="N48" s="8">
        <f t="shared" si="11"/>
        <v>134.99972999999997</v>
      </c>
      <c r="O48" s="8">
        <f t="shared" si="12"/>
        <v>24.999949999999998</v>
      </c>
      <c r="P48" s="8">
        <f t="shared" si="13"/>
        <v>431.63803516142957</v>
      </c>
    </row>
    <row r="49" spans="2:16" ht="16.5" x14ac:dyDescent="0.25">
      <c r="B49" s="47" t="s">
        <v>146</v>
      </c>
      <c r="C49" s="5" t="s">
        <v>104</v>
      </c>
      <c r="D49" s="22">
        <v>1</v>
      </c>
      <c r="E49" s="6" t="s">
        <v>16</v>
      </c>
      <c r="F49" s="8">
        <v>5.1054000000000004</v>
      </c>
      <c r="G49" s="8">
        <v>3.2511999999999999</v>
      </c>
      <c r="H49" s="8">
        <v>1.1175999999999999</v>
      </c>
      <c r="I49" s="8">
        <f t="shared" si="7"/>
        <v>1360.8</v>
      </c>
      <c r="J49" s="8">
        <f t="shared" si="8"/>
        <v>1.3608</v>
      </c>
      <c r="K49" s="8">
        <f t="shared" si="9"/>
        <v>18.550680834048002</v>
      </c>
      <c r="L49" s="7">
        <v>3000</v>
      </c>
      <c r="M49" s="8">
        <f t="shared" si="10"/>
        <v>200.99959799999999</v>
      </c>
      <c r="N49" s="8">
        <f t="shared" si="11"/>
        <v>127.99974399999999</v>
      </c>
      <c r="O49" s="8">
        <f t="shared" si="12"/>
        <v>43.999911999999995</v>
      </c>
      <c r="P49" s="8">
        <f t="shared" si="13"/>
        <v>655.10718045230556</v>
      </c>
    </row>
    <row r="50" spans="2:16" ht="16.5" x14ac:dyDescent="0.25">
      <c r="B50" s="47" t="s">
        <v>147</v>
      </c>
      <c r="C50" s="5" t="s">
        <v>104</v>
      </c>
      <c r="D50" s="22">
        <v>1</v>
      </c>
      <c r="E50" s="6" t="s">
        <v>14</v>
      </c>
      <c r="F50" s="8">
        <v>5.6134000000000004</v>
      </c>
      <c r="G50" s="8">
        <v>3.4289999999999998</v>
      </c>
      <c r="H50" s="8">
        <v>0.63500000000000001</v>
      </c>
      <c r="I50" s="8">
        <f t="shared" si="7"/>
        <v>1360.8</v>
      </c>
      <c r="J50" s="8">
        <f t="shared" si="8"/>
        <v>1.3608</v>
      </c>
      <c r="K50" s="8">
        <f t="shared" si="9"/>
        <v>12.222701361</v>
      </c>
      <c r="L50" s="7">
        <v>3000</v>
      </c>
      <c r="M50" s="8">
        <f t="shared" si="10"/>
        <v>220.99955800000001</v>
      </c>
      <c r="N50" s="8">
        <f t="shared" si="11"/>
        <v>134.99972999999997</v>
      </c>
      <c r="O50" s="8">
        <f t="shared" si="12"/>
        <v>24.999949999999998</v>
      </c>
      <c r="P50" s="8">
        <f t="shared" si="13"/>
        <v>431.63803516142957</v>
      </c>
    </row>
    <row r="51" spans="2:16" ht="16.5" x14ac:dyDescent="0.25">
      <c r="B51" s="47" t="s">
        <v>148</v>
      </c>
      <c r="C51" s="5" t="s">
        <v>104</v>
      </c>
      <c r="D51" s="22">
        <v>1</v>
      </c>
      <c r="E51" s="6" t="s">
        <v>17</v>
      </c>
      <c r="F51" s="8">
        <v>4.9530000000000003</v>
      </c>
      <c r="G51" s="8">
        <v>3.2511999999999999</v>
      </c>
      <c r="H51" s="8">
        <v>1.016</v>
      </c>
      <c r="I51" s="8">
        <f t="shared" si="7"/>
        <v>1360.8</v>
      </c>
      <c r="J51" s="8">
        <f t="shared" si="8"/>
        <v>1.3608</v>
      </c>
      <c r="K51" s="8">
        <f t="shared" si="9"/>
        <v>16.360844697600001</v>
      </c>
      <c r="L51" s="7">
        <v>3000</v>
      </c>
      <c r="M51" s="8">
        <f t="shared" si="10"/>
        <v>194.99960999999999</v>
      </c>
      <c r="N51" s="8">
        <f t="shared" si="11"/>
        <v>127.99974399999999</v>
      </c>
      <c r="O51" s="8">
        <f t="shared" si="12"/>
        <v>39.999919999999996</v>
      </c>
      <c r="P51" s="8">
        <f t="shared" si="13"/>
        <v>577.77431111804435</v>
      </c>
    </row>
    <row r="52" spans="2:16" ht="16.5" x14ac:dyDescent="0.25">
      <c r="B52" s="47" t="s">
        <v>149</v>
      </c>
      <c r="C52" s="5" t="s">
        <v>104</v>
      </c>
      <c r="D52" s="5">
        <v>1</v>
      </c>
      <c r="E52" s="6" t="s">
        <v>26</v>
      </c>
      <c r="F52" s="8">
        <v>11.28</v>
      </c>
      <c r="G52" s="8">
        <v>2.31</v>
      </c>
      <c r="H52" s="12">
        <v>3.2</v>
      </c>
      <c r="I52" s="8">
        <f t="shared" si="7"/>
        <v>9072</v>
      </c>
      <c r="J52" s="8">
        <f t="shared" si="8"/>
        <v>9.0719999999999992</v>
      </c>
      <c r="K52" s="8">
        <f t="shared" si="9"/>
        <v>83.38176</v>
      </c>
      <c r="L52" s="7">
        <v>20000</v>
      </c>
      <c r="M52" s="8">
        <f t="shared" si="10"/>
        <v>444.09359999999992</v>
      </c>
      <c r="N52" s="8">
        <f t="shared" si="11"/>
        <v>90.944699999999997</v>
      </c>
      <c r="O52" s="8">
        <f t="shared" si="12"/>
        <v>125.98399999999999</v>
      </c>
      <c r="P52" s="8">
        <f t="shared" si="13"/>
        <v>2944.5813974920925</v>
      </c>
    </row>
    <row r="53" spans="2:16" ht="16.5" x14ac:dyDescent="0.25">
      <c r="B53" s="54" t="s">
        <v>150</v>
      </c>
      <c r="C53" s="5" t="s">
        <v>104</v>
      </c>
      <c r="D53" s="22">
        <v>1</v>
      </c>
      <c r="E53" s="42" t="s">
        <v>173</v>
      </c>
      <c r="F53" s="8">
        <v>6.18</v>
      </c>
      <c r="G53" s="8">
        <v>1.55</v>
      </c>
      <c r="H53" s="10">
        <v>2.84</v>
      </c>
      <c r="I53" s="8">
        <f t="shared" si="7"/>
        <v>16783.2</v>
      </c>
      <c r="J53" s="8">
        <f t="shared" si="8"/>
        <v>16.783200000000001</v>
      </c>
      <c r="K53" s="8">
        <f t="shared" si="9"/>
        <v>27.204360000000001</v>
      </c>
      <c r="L53" s="7">
        <v>37000</v>
      </c>
      <c r="M53" s="8">
        <f t="shared" si="10"/>
        <v>243.30659999999997</v>
      </c>
      <c r="N53" s="8">
        <f t="shared" si="11"/>
        <v>61.023499999999999</v>
      </c>
      <c r="O53" s="8">
        <f t="shared" si="12"/>
        <v>111.81079999999999</v>
      </c>
      <c r="P53" s="8">
        <f t="shared" si="13"/>
        <v>960.70714250548315</v>
      </c>
    </row>
    <row r="54" spans="2:16" ht="16.5" x14ac:dyDescent="0.25">
      <c r="B54" s="54" t="s">
        <v>151</v>
      </c>
      <c r="C54" s="5" t="s">
        <v>104</v>
      </c>
      <c r="D54" s="5">
        <v>1</v>
      </c>
      <c r="E54" s="42" t="s">
        <v>174</v>
      </c>
      <c r="F54" s="8">
        <v>2.5350000000000001</v>
      </c>
      <c r="G54" s="8">
        <v>1.5649999999999999</v>
      </c>
      <c r="H54" s="8">
        <v>2.5350000000000001</v>
      </c>
      <c r="I54" s="8">
        <f t="shared" si="7"/>
        <v>3628.8</v>
      </c>
      <c r="J54" s="8">
        <f t="shared" si="8"/>
        <v>3.6288</v>
      </c>
      <c r="K54" s="8">
        <f t="shared" si="9"/>
        <v>10.057042125000001</v>
      </c>
      <c r="L54" s="7">
        <v>8000</v>
      </c>
      <c r="M54" s="8">
        <f t="shared" si="10"/>
        <v>99.802949999999996</v>
      </c>
      <c r="N54" s="8">
        <f t="shared" si="11"/>
        <v>61.614049999999992</v>
      </c>
      <c r="O54" s="8">
        <f t="shared" si="12"/>
        <v>99.802949999999996</v>
      </c>
      <c r="P54" s="8">
        <f t="shared" si="13"/>
        <v>355.15895988606314</v>
      </c>
    </row>
    <row r="55" spans="2:16" ht="16.5" x14ac:dyDescent="0.25">
      <c r="B55" s="54" t="s">
        <v>152</v>
      </c>
      <c r="C55" s="5" t="s">
        <v>104</v>
      </c>
      <c r="D55" s="5">
        <v>1</v>
      </c>
      <c r="E55" s="42" t="s">
        <v>175</v>
      </c>
      <c r="F55" s="8">
        <v>2.5350000000000001</v>
      </c>
      <c r="G55" s="8">
        <v>1.5649999999999999</v>
      </c>
      <c r="H55" s="8">
        <v>2.5350000000000001</v>
      </c>
      <c r="I55" s="8">
        <f t="shared" si="7"/>
        <v>5443.2</v>
      </c>
      <c r="J55" s="8">
        <f t="shared" si="8"/>
        <v>5.4432</v>
      </c>
      <c r="K55" s="8">
        <f t="shared" si="9"/>
        <v>10.057042125000001</v>
      </c>
      <c r="L55" s="7">
        <v>12000</v>
      </c>
      <c r="M55" s="8">
        <f t="shared" si="10"/>
        <v>99.802949999999996</v>
      </c>
      <c r="N55" s="8">
        <f t="shared" si="11"/>
        <v>61.614049999999992</v>
      </c>
      <c r="O55" s="8">
        <f t="shared" si="12"/>
        <v>99.802949999999996</v>
      </c>
      <c r="P55" s="8">
        <f t="shared" si="13"/>
        <v>355.15895988606314</v>
      </c>
    </row>
    <row r="56" spans="2:16" ht="16.5" x14ac:dyDescent="0.25">
      <c r="B56" s="54" t="s">
        <v>153</v>
      </c>
      <c r="C56" s="5" t="s">
        <v>104</v>
      </c>
      <c r="D56" s="5">
        <v>1</v>
      </c>
      <c r="E56" s="53" t="s">
        <v>176</v>
      </c>
      <c r="F56" s="8">
        <v>4.38</v>
      </c>
      <c r="G56" s="12">
        <v>3.8450000000000002</v>
      </c>
      <c r="H56" s="8">
        <v>1.2</v>
      </c>
      <c r="I56" s="8">
        <f t="shared" si="7"/>
        <v>20412</v>
      </c>
      <c r="J56" s="8">
        <f t="shared" si="8"/>
        <v>20.411999999999999</v>
      </c>
      <c r="K56" s="8">
        <f t="shared" si="9"/>
        <v>20.209320000000002</v>
      </c>
      <c r="L56" s="7">
        <v>45000</v>
      </c>
      <c r="M56" s="8">
        <f t="shared" si="10"/>
        <v>172.44059999999999</v>
      </c>
      <c r="N56" s="8">
        <f t="shared" si="11"/>
        <v>151.37764999999999</v>
      </c>
      <c r="O56" s="8">
        <f t="shared" si="12"/>
        <v>47.243999999999993</v>
      </c>
      <c r="P56" s="8">
        <f t="shared" si="13"/>
        <v>713.68111836407502</v>
      </c>
    </row>
    <row r="57" spans="2:16" ht="16.5" x14ac:dyDescent="0.25">
      <c r="B57" s="54" t="s">
        <v>154</v>
      </c>
      <c r="C57" s="5" t="s">
        <v>104</v>
      </c>
      <c r="D57" s="5">
        <v>1</v>
      </c>
      <c r="E57" s="42" t="s">
        <v>177</v>
      </c>
      <c r="F57" s="8">
        <v>4.2750000000000004</v>
      </c>
      <c r="G57" s="8">
        <v>2.09</v>
      </c>
      <c r="H57" s="8">
        <v>2.59</v>
      </c>
      <c r="I57" s="8">
        <f t="shared" si="7"/>
        <v>6350.4</v>
      </c>
      <c r="J57" s="8">
        <f t="shared" si="8"/>
        <v>6.3503999999999996</v>
      </c>
      <c r="K57" s="8">
        <f t="shared" si="9"/>
        <v>23.141002499999995</v>
      </c>
      <c r="L57" s="7">
        <v>14000</v>
      </c>
      <c r="M57" s="8">
        <f t="shared" si="10"/>
        <v>168.30674999999999</v>
      </c>
      <c r="N57" s="8">
        <f t="shared" si="11"/>
        <v>82.283299999999983</v>
      </c>
      <c r="O57" s="8">
        <f t="shared" si="12"/>
        <v>101.96829999999999</v>
      </c>
      <c r="P57" s="8">
        <f t="shared" si="13"/>
        <v>817.21188759769518</v>
      </c>
    </row>
    <row r="58" spans="2:16" ht="16.5" x14ac:dyDescent="0.25">
      <c r="B58" s="54" t="s">
        <v>155</v>
      </c>
      <c r="C58" s="5" t="s">
        <v>104</v>
      </c>
      <c r="D58" s="22">
        <v>1</v>
      </c>
      <c r="E58" s="42" t="s">
        <v>178</v>
      </c>
      <c r="F58" s="8">
        <v>2.57</v>
      </c>
      <c r="G58" s="8">
        <v>2.57</v>
      </c>
      <c r="H58" s="8">
        <v>0.55000000000000004</v>
      </c>
      <c r="I58" s="8">
        <f t="shared" si="7"/>
        <v>9072</v>
      </c>
      <c r="J58" s="8">
        <f t="shared" si="8"/>
        <v>9.0719999999999992</v>
      </c>
      <c r="K58" s="8">
        <f t="shared" si="9"/>
        <v>3.6326949999999996</v>
      </c>
      <c r="L58" s="7">
        <v>20000</v>
      </c>
      <c r="M58" s="8">
        <f t="shared" si="10"/>
        <v>101.18089999999999</v>
      </c>
      <c r="N58" s="8">
        <f t="shared" si="11"/>
        <v>101.18089999999999</v>
      </c>
      <c r="O58" s="8">
        <f t="shared" si="12"/>
        <v>21.653500000000001</v>
      </c>
      <c r="P58" s="8">
        <f t="shared" si="13"/>
        <v>128.28664350287806</v>
      </c>
    </row>
    <row r="59" spans="2:16" ht="16.5" x14ac:dyDescent="0.25">
      <c r="B59" s="54" t="s">
        <v>156</v>
      </c>
      <c r="C59" s="5" t="s">
        <v>104</v>
      </c>
      <c r="D59" s="5">
        <v>1</v>
      </c>
      <c r="E59" s="42" t="s">
        <v>179</v>
      </c>
      <c r="F59" s="8">
        <v>3.56</v>
      </c>
      <c r="G59" s="12">
        <v>3.56</v>
      </c>
      <c r="H59" s="8">
        <v>0.51500000000000001</v>
      </c>
      <c r="I59" s="8">
        <f t="shared" si="7"/>
        <v>20412</v>
      </c>
      <c r="J59" s="8">
        <f t="shared" si="8"/>
        <v>20.411999999999999</v>
      </c>
      <c r="K59" s="8">
        <f t="shared" si="9"/>
        <v>6.526904</v>
      </c>
      <c r="L59" s="7">
        <v>45000</v>
      </c>
      <c r="M59" s="8">
        <f t="shared" si="10"/>
        <v>140.15719999999999</v>
      </c>
      <c r="N59" s="8">
        <f t="shared" si="11"/>
        <v>140.15719999999999</v>
      </c>
      <c r="O59" s="8">
        <f t="shared" si="12"/>
        <v>20.275549999999999</v>
      </c>
      <c r="P59" s="8">
        <f t="shared" si="13"/>
        <v>230.49405651327976</v>
      </c>
    </row>
    <row r="60" spans="2:16" ht="16.5" x14ac:dyDescent="0.25">
      <c r="B60" s="54" t="s">
        <v>157</v>
      </c>
      <c r="C60" s="5" t="s">
        <v>104</v>
      </c>
      <c r="D60" s="5">
        <v>1</v>
      </c>
      <c r="E60" s="42" t="s">
        <v>180</v>
      </c>
      <c r="F60" s="8">
        <v>3.56</v>
      </c>
      <c r="G60" s="12">
        <v>3.56</v>
      </c>
      <c r="H60" s="8">
        <v>0.51500000000000001</v>
      </c>
      <c r="I60" s="8">
        <f t="shared" si="7"/>
        <v>20412</v>
      </c>
      <c r="J60" s="8">
        <f t="shared" si="8"/>
        <v>20.411999999999999</v>
      </c>
      <c r="K60" s="8">
        <f t="shared" si="9"/>
        <v>6.526904</v>
      </c>
      <c r="L60" s="7">
        <v>45000</v>
      </c>
      <c r="M60" s="8">
        <f t="shared" si="10"/>
        <v>140.15719999999999</v>
      </c>
      <c r="N60" s="8">
        <f t="shared" si="11"/>
        <v>140.15719999999999</v>
      </c>
      <c r="O60" s="8">
        <f t="shared" si="12"/>
        <v>20.275549999999999</v>
      </c>
      <c r="P60" s="8">
        <f t="shared" si="13"/>
        <v>230.49405651327976</v>
      </c>
    </row>
    <row r="61" spans="2:16" ht="16.5" x14ac:dyDescent="0.25">
      <c r="B61" s="54" t="s">
        <v>158</v>
      </c>
      <c r="C61" s="5" t="s">
        <v>104</v>
      </c>
      <c r="D61" s="46">
        <v>1</v>
      </c>
      <c r="E61" s="53" t="s">
        <v>160</v>
      </c>
      <c r="F61" s="8">
        <v>2.94</v>
      </c>
      <c r="G61" s="8">
        <v>2.85</v>
      </c>
      <c r="H61" s="8">
        <v>0.9</v>
      </c>
      <c r="I61" s="8">
        <f t="shared" si="7"/>
        <v>5670</v>
      </c>
      <c r="J61" s="8">
        <f t="shared" si="8"/>
        <v>5.67</v>
      </c>
      <c r="K61" s="8">
        <f t="shared" si="9"/>
        <v>7.5411000000000001</v>
      </c>
      <c r="L61" s="7">
        <v>12500</v>
      </c>
      <c r="M61" s="8">
        <f t="shared" si="10"/>
        <v>115.74779999999998</v>
      </c>
      <c r="N61" s="8">
        <f t="shared" si="11"/>
        <v>112.2045</v>
      </c>
      <c r="O61" s="8">
        <f t="shared" si="12"/>
        <v>35.433</v>
      </c>
      <c r="P61" s="8">
        <f t="shared" si="13"/>
        <v>266.30983534801402</v>
      </c>
    </row>
    <row r="62" spans="2:16" ht="16.5" x14ac:dyDescent="0.25">
      <c r="B62" s="54" t="s">
        <v>159</v>
      </c>
      <c r="C62" s="5" t="s">
        <v>104</v>
      </c>
      <c r="D62" s="46">
        <v>1</v>
      </c>
      <c r="E62" s="53" t="s">
        <v>161</v>
      </c>
      <c r="F62" s="8">
        <v>2.94</v>
      </c>
      <c r="G62" s="8">
        <v>2.85</v>
      </c>
      <c r="H62" s="8">
        <v>0.9</v>
      </c>
      <c r="I62" s="8">
        <f t="shared" si="7"/>
        <v>5670</v>
      </c>
      <c r="J62" s="8">
        <f t="shared" si="8"/>
        <v>5.67</v>
      </c>
      <c r="K62" s="8">
        <f t="shared" si="9"/>
        <v>7.5411000000000001</v>
      </c>
      <c r="L62" s="7">
        <v>12500</v>
      </c>
      <c r="M62" s="8">
        <f t="shared" si="10"/>
        <v>115.74779999999998</v>
      </c>
      <c r="N62" s="8">
        <f t="shared" si="11"/>
        <v>112.2045</v>
      </c>
      <c r="O62" s="8">
        <f t="shared" si="12"/>
        <v>35.433</v>
      </c>
      <c r="P62" s="8">
        <f t="shared" si="13"/>
        <v>266.30983534801402</v>
      </c>
    </row>
    <row r="63" spans="2:16" ht="16.5" x14ac:dyDescent="0.25">
      <c r="B63" s="54" t="s">
        <v>164</v>
      </c>
      <c r="C63" s="5" t="s">
        <v>104</v>
      </c>
      <c r="D63" s="46">
        <v>1</v>
      </c>
      <c r="E63" s="42" t="s">
        <v>162</v>
      </c>
      <c r="F63" s="9">
        <v>18.36</v>
      </c>
      <c r="G63" s="48">
        <v>1.04</v>
      </c>
      <c r="H63" s="48">
        <v>1.02</v>
      </c>
      <c r="I63" s="8">
        <f t="shared" si="7"/>
        <v>15876</v>
      </c>
      <c r="J63" s="8">
        <f t="shared" si="8"/>
        <v>15.875999999999999</v>
      </c>
      <c r="K63" s="8">
        <f t="shared" si="9"/>
        <v>19.476288</v>
      </c>
      <c r="L63" s="7">
        <v>35000</v>
      </c>
      <c r="M63" s="8">
        <f t="shared" si="10"/>
        <v>722.83319999999992</v>
      </c>
      <c r="N63" s="8">
        <f t="shared" si="11"/>
        <v>40.944800000000001</v>
      </c>
      <c r="O63" s="8">
        <f t="shared" si="12"/>
        <v>40.157399999999996</v>
      </c>
      <c r="P63" s="8">
        <f t="shared" si="13"/>
        <v>687.7944929082629</v>
      </c>
    </row>
    <row r="64" spans="2:16" ht="16.5" x14ac:dyDescent="0.25">
      <c r="B64" s="54" t="s">
        <v>165</v>
      </c>
      <c r="C64" s="5" t="s">
        <v>104</v>
      </c>
      <c r="D64" s="46">
        <v>1</v>
      </c>
      <c r="E64" s="42" t="s">
        <v>163</v>
      </c>
      <c r="F64" s="9">
        <v>18.36</v>
      </c>
      <c r="G64" s="48">
        <v>1.04</v>
      </c>
      <c r="H64" s="48">
        <v>1.02</v>
      </c>
      <c r="I64" s="8">
        <f t="shared" si="7"/>
        <v>15876</v>
      </c>
      <c r="J64" s="8">
        <f t="shared" si="8"/>
        <v>15.875999999999999</v>
      </c>
      <c r="K64" s="8">
        <f t="shared" si="9"/>
        <v>19.476288</v>
      </c>
      <c r="L64" s="7">
        <v>35000</v>
      </c>
      <c r="M64" s="8">
        <f t="shared" si="10"/>
        <v>722.83319999999992</v>
      </c>
      <c r="N64" s="8">
        <f t="shared" si="11"/>
        <v>40.944800000000001</v>
      </c>
      <c r="O64" s="8">
        <f t="shared" si="12"/>
        <v>40.157399999999996</v>
      </c>
      <c r="P64" s="8">
        <f t="shared" si="13"/>
        <v>687.7944929082629</v>
      </c>
    </row>
    <row r="65" spans="2:16" ht="18.75" x14ac:dyDescent="0.25">
      <c r="B65" s="43"/>
      <c r="C65" s="44"/>
      <c r="D65" s="27">
        <f>SUM(D7:D64)</f>
        <v>58</v>
      </c>
      <c r="E65" s="45"/>
      <c r="F65" s="50"/>
      <c r="G65" s="50"/>
      <c r="H65" s="51"/>
      <c r="I65" s="49">
        <f>SUM(I7:I63)</f>
        <v>1384334.6091624</v>
      </c>
      <c r="J65" s="49">
        <f>SUM(J7:J63)</f>
        <v>1384.3346091623994</v>
      </c>
      <c r="K65" s="49">
        <f>SUM(K7:K63)</f>
        <v>3157.9854477104955</v>
      </c>
      <c r="L65" s="49">
        <f>SUM(L7:L63)</f>
        <v>3051884.0590000004</v>
      </c>
      <c r="M65" s="52"/>
      <c r="N65" s="50"/>
      <c r="O65" s="51"/>
      <c r="P65" s="49">
        <f>SUM(P7:P63)</f>
        <v>111522.53445932378</v>
      </c>
    </row>
    <row r="68" spans="2:16" x14ac:dyDescent="0.25">
      <c r="C68" s="82" t="s">
        <v>181</v>
      </c>
      <c r="D68" s="82"/>
      <c r="E68" s="82"/>
      <c r="F68" s="82"/>
      <c r="G68" s="82"/>
      <c r="H68" s="82"/>
    </row>
  </sheetData>
  <autoFilter ref="B6:P65" xr:uid="{EB70E133-F355-4C45-A940-7CC429D6493A}"/>
  <sortState xmlns:xlrd2="http://schemas.microsoft.com/office/spreadsheetml/2017/richdata2" ref="B53:P64">
    <sortCondition ref="E53:E64"/>
  </sortState>
  <mergeCells count="3">
    <mergeCell ref="B2:E2"/>
    <mergeCell ref="B4:D4"/>
    <mergeCell ref="C68:H68"/>
  </mergeCells>
  <phoneticPr fontId="13" type="noConversion"/>
  <pageMargins left="0.25" right="0.25" top="0.75" bottom="0.75" header="0.3" footer="0.3"/>
  <pageSetup paperSize="8" scale="48" fitToHeight="0" orientation="landscape" r:id="rId1"/>
  <colBreaks count="1" manualBreakCount="1">
    <brk id="16" max="6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EB8C-FB43-480E-BA60-CE295835A497}">
  <sheetPr>
    <tabColor rgb="FF0000FF"/>
  </sheetPr>
  <dimension ref="B4:M32"/>
  <sheetViews>
    <sheetView showGridLines="0" zoomScale="75" zoomScaleNormal="75" workbookViewId="0">
      <selection activeCell="J1" sqref="J1"/>
    </sheetView>
  </sheetViews>
  <sheetFormatPr defaultColWidth="8.85546875" defaultRowHeight="15" x14ac:dyDescent="0.25"/>
  <cols>
    <col min="1" max="1" width="3.5703125" customWidth="1"/>
    <col min="2" max="2" width="10.28515625" bestFit="1" customWidth="1"/>
    <col min="3" max="3" width="11.5703125" style="1" bestFit="1" customWidth="1"/>
    <col min="4" max="4" width="9.28515625" style="2" bestFit="1" customWidth="1"/>
    <col min="5" max="5" width="20.7109375" style="3" bestFit="1" customWidth="1"/>
    <col min="6" max="6" width="15.140625" bestFit="1" customWidth="1"/>
    <col min="7" max="7" width="15.85546875" bestFit="1" customWidth="1"/>
    <col min="8" max="8" width="15.5703125" bestFit="1" customWidth="1"/>
    <col min="9" max="9" width="9.5703125" customWidth="1"/>
    <col min="10" max="10" width="3.5703125" customWidth="1"/>
  </cols>
  <sheetData>
    <row r="4" spans="2:13" s="4" customFormat="1" ht="15.75" x14ac:dyDescent="0.25">
      <c r="B4" s="62" t="s">
        <v>184</v>
      </c>
      <c r="C4" s="62" t="s">
        <v>0</v>
      </c>
      <c r="D4" s="63" t="s">
        <v>1</v>
      </c>
      <c r="E4" s="64" t="s">
        <v>2</v>
      </c>
      <c r="F4" s="65" t="s">
        <v>3</v>
      </c>
      <c r="G4" s="65" t="s">
        <v>4</v>
      </c>
      <c r="H4" s="65" t="s">
        <v>5</v>
      </c>
      <c r="I4" s="65" t="s">
        <v>6</v>
      </c>
    </row>
    <row r="5" spans="2:13" ht="15.75" x14ac:dyDescent="0.25">
      <c r="B5" s="66" t="s">
        <v>185</v>
      </c>
      <c r="C5" s="67" t="s">
        <v>186</v>
      </c>
      <c r="D5" s="68">
        <v>1</v>
      </c>
      <c r="E5" s="69" t="s">
        <v>28</v>
      </c>
      <c r="F5" s="70">
        <v>12.35</v>
      </c>
      <c r="G5" s="70">
        <v>2.71</v>
      </c>
      <c r="H5" s="70">
        <v>2.74</v>
      </c>
      <c r="I5" s="71">
        <v>23000</v>
      </c>
    </row>
    <row r="6" spans="2:13" ht="15.75" x14ac:dyDescent="0.25">
      <c r="B6" s="72" t="s">
        <v>187</v>
      </c>
      <c r="C6" s="73"/>
      <c r="D6" s="74"/>
      <c r="E6" s="75" t="s">
        <v>28</v>
      </c>
      <c r="F6" s="76">
        <v>6.06</v>
      </c>
      <c r="G6" s="76">
        <v>2.76</v>
      </c>
      <c r="H6" s="76">
        <v>2.92</v>
      </c>
      <c r="I6" s="77">
        <v>17000</v>
      </c>
    </row>
    <row r="7" spans="2:13" ht="15.75" x14ac:dyDescent="0.25">
      <c r="B7" s="66" t="s">
        <v>185</v>
      </c>
      <c r="C7" s="67" t="s">
        <v>186</v>
      </c>
      <c r="D7" s="68">
        <v>1</v>
      </c>
      <c r="E7" s="69" t="s">
        <v>29</v>
      </c>
      <c r="F7" s="70">
        <v>17.760000000000002</v>
      </c>
      <c r="G7" s="70">
        <v>2.6150000000000002</v>
      </c>
      <c r="H7" s="70">
        <v>2.58</v>
      </c>
      <c r="I7" s="71">
        <v>64000</v>
      </c>
    </row>
    <row r="8" spans="2:13" ht="15.75" x14ac:dyDescent="0.25">
      <c r="B8" s="72" t="s">
        <v>187</v>
      </c>
      <c r="C8" s="73"/>
      <c r="D8" s="74"/>
      <c r="E8" s="75" t="s">
        <v>29</v>
      </c>
      <c r="F8" s="70">
        <v>17.760000000000002</v>
      </c>
      <c r="G8" s="76">
        <v>2.9550000000000001</v>
      </c>
      <c r="H8" s="70">
        <v>2.58</v>
      </c>
      <c r="I8" s="77">
        <v>71000</v>
      </c>
    </row>
    <row r="9" spans="2:13" ht="15.75" x14ac:dyDescent="0.25">
      <c r="B9" s="66" t="s">
        <v>185</v>
      </c>
      <c r="C9" s="67" t="s">
        <v>186</v>
      </c>
      <c r="D9" s="68">
        <v>1</v>
      </c>
      <c r="E9" s="69" t="s">
        <v>188</v>
      </c>
      <c r="F9" s="70">
        <v>5.43</v>
      </c>
      <c r="G9" s="70">
        <v>5.61</v>
      </c>
      <c r="H9" s="70">
        <v>3.048</v>
      </c>
      <c r="I9" s="71">
        <v>44100</v>
      </c>
    </row>
    <row r="10" spans="2:13" ht="15.75" x14ac:dyDescent="0.25">
      <c r="B10" s="72" t="s">
        <v>187</v>
      </c>
      <c r="C10" s="73"/>
      <c r="D10" s="74"/>
      <c r="E10" s="75" t="s">
        <v>188</v>
      </c>
      <c r="F10" s="70">
        <v>5.43</v>
      </c>
      <c r="G10" s="76">
        <v>2.93</v>
      </c>
      <c r="H10" s="70">
        <v>3.048</v>
      </c>
      <c r="I10" s="71">
        <v>44100</v>
      </c>
    </row>
    <row r="11" spans="2:13" ht="15.75" x14ac:dyDescent="0.25">
      <c r="B11" s="66" t="s">
        <v>185</v>
      </c>
      <c r="C11" s="67" t="s">
        <v>186</v>
      </c>
      <c r="D11" s="68">
        <v>1</v>
      </c>
      <c r="E11" s="69" t="s">
        <v>189</v>
      </c>
      <c r="F11" s="70">
        <v>6.11</v>
      </c>
      <c r="G11" s="70">
        <v>2.56</v>
      </c>
      <c r="H11" s="70">
        <v>2.75</v>
      </c>
      <c r="I11" s="71">
        <v>26000</v>
      </c>
    </row>
    <row r="12" spans="2:13" ht="15.75" x14ac:dyDescent="0.25">
      <c r="B12" s="72" t="s">
        <v>187</v>
      </c>
      <c r="C12" s="73"/>
      <c r="D12" s="74"/>
      <c r="E12" s="75" t="s">
        <v>189</v>
      </c>
      <c r="F12" s="76">
        <v>5.85</v>
      </c>
      <c r="G12" s="76">
        <v>2.12</v>
      </c>
      <c r="H12" s="76">
        <v>2.74</v>
      </c>
      <c r="I12" s="77">
        <v>20000</v>
      </c>
    </row>
    <row r="13" spans="2:13" ht="15.75" x14ac:dyDescent="0.25">
      <c r="B13" s="66" t="s">
        <v>185</v>
      </c>
      <c r="C13" s="67" t="s">
        <v>186</v>
      </c>
      <c r="D13" s="68">
        <v>1</v>
      </c>
      <c r="E13" s="69" t="s">
        <v>190</v>
      </c>
      <c r="F13" s="70">
        <v>15.4</v>
      </c>
      <c r="G13" s="70">
        <v>3.55</v>
      </c>
      <c r="H13" s="70">
        <v>4.0640000000000001</v>
      </c>
      <c r="I13" s="71">
        <v>255736</v>
      </c>
    </row>
    <row r="14" spans="2:13" ht="15.75" x14ac:dyDescent="0.25">
      <c r="B14" s="72" t="s">
        <v>187</v>
      </c>
      <c r="C14" s="73"/>
      <c r="D14" s="74"/>
      <c r="E14" s="75" t="s">
        <v>190</v>
      </c>
      <c r="F14" s="76">
        <v>15.98</v>
      </c>
      <c r="G14" s="70">
        <v>3.55</v>
      </c>
      <c r="H14" s="70">
        <v>4.0640000000000001</v>
      </c>
      <c r="I14" s="71">
        <v>255736</v>
      </c>
      <c r="M14" s="78"/>
    </row>
    <row r="15" spans="2:13" ht="15.75" x14ac:dyDescent="0.25">
      <c r="B15" s="66" t="s">
        <v>185</v>
      </c>
      <c r="C15" s="67" t="s">
        <v>186</v>
      </c>
      <c r="D15" s="68">
        <v>1</v>
      </c>
      <c r="E15" s="69" t="s">
        <v>191</v>
      </c>
      <c r="F15" s="70">
        <v>17.760000000000002</v>
      </c>
      <c r="G15" s="70">
        <v>3.88</v>
      </c>
      <c r="H15" s="70">
        <v>2.58</v>
      </c>
      <c r="I15" s="71">
        <v>118000</v>
      </c>
    </row>
    <row r="16" spans="2:13" ht="15.75" x14ac:dyDescent="0.25">
      <c r="B16" s="72" t="s">
        <v>187</v>
      </c>
      <c r="C16" s="73"/>
      <c r="D16" s="74"/>
      <c r="E16" s="75" t="s">
        <v>191</v>
      </c>
      <c r="F16" s="70">
        <v>17.760000000000002</v>
      </c>
      <c r="G16" s="76">
        <v>3.96</v>
      </c>
      <c r="H16" s="70">
        <v>2.58</v>
      </c>
      <c r="I16" s="71">
        <v>118000</v>
      </c>
    </row>
    <row r="17" spans="2:9" ht="15.75" x14ac:dyDescent="0.25">
      <c r="B17" s="66" t="s">
        <v>185</v>
      </c>
      <c r="C17" s="67" t="s">
        <v>186</v>
      </c>
      <c r="D17" s="68">
        <v>1</v>
      </c>
      <c r="E17" s="69" t="s">
        <v>192</v>
      </c>
      <c r="F17" s="70">
        <v>15.4</v>
      </c>
      <c r="G17" s="70">
        <v>3.1349999999999998</v>
      </c>
      <c r="H17" s="70">
        <v>3.04</v>
      </c>
      <c r="I17" s="71">
        <v>75020.168999999994</v>
      </c>
    </row>
    <row r="18" spans="2:9" ht="15.75" x14ac:dyDescent="0.25">
      <c r="B18" s="72" t="s">
        <v>187</v>
      </c>
      <c r="C18" s="73"/>
      <c r="D18" s="74"/>
      <c r="E18" s="75" t="s">
        <v>192</v>
      </c>
      <c r="F18" s="76">
        <v>15.98</v>
      </c>
      <c r="G18" s="70">
        <v>3.1349999999999998</v>
      </c>
      <c r="H18" s="70">
        <v>3.04</v>
      </c>
      <c r="I18" s="71">
        <v>75020.168999999994</v>
      </c>
    </row>
    <row r="19" spans="2:9" ht="15.75" x14ac:dyDescent="0.25">
      <c r="B19" s="66" t="s">
        <v>185</v>
      </c>
      <c r="C19" s="67" t="s">
        <v>186</v>
      </c>
      <c r="D19" s="68">
        <v>1</v>
      </c>
      <c r="E19" s="69" t="s">
        <v>193</v>
      </c>
      <c r="F19" s="70">
        <v>9.06</v>
      </c>
      <c r="G19" s="70">
        <v>4.2300000000000004</v>
      </c>
      <c r="H19" s="70">
        <v>2.9969999999999999</v>
      </c>
      <c r="I19" s="71">
        <v>185000</v>
      </c>
    </row>
    <row r="20" spans="2:9" ht="15.75" x14ac:dyDescent="0.25">
      <c r="B20" s="72" t="s">
        <v>187</v>
      </c>
      <c r="C20" s="73"/>
      <c r="D20" s="74"/>
      <c r="E20" s="75" t="s">
        <v>193</v>
      </c>
      <c r="F20" s="76">
        <v>9.35</v>
      </c>
      <c r="G20" s="76">
        <v>3.95</v>
      </c>
      <c r="H20" s="70">
        <v>2.9969999999999999</v>
      </c>
      <c r="I20" s="77">
        <v>163000</v>
      </c>
    </row>
    <row r="21" spans="2:9" ht="15.75" x14ac:dyDescent="0.25">
      <c r="B21" s="66" t="s">
        <v>185</v>
      </c>
      <c r="C21" s="67" t="s">
        <v>186</v>
      </c>
      <c r="D21" s="68">
        <v>1</v>
      </c>
      <c r="E21" s="69" t="s">
        <v>30</v>
      </c>
      <c r="F21" s="70">
        <v>14.4</v>
      </c>
      <c r="G21" s="70">
        <v>3.6</v>
      </c>
      <c r="H21" s="70">
        <v>3.41</v>
      </c>
      <c r="I21" s="71">
        <v>212000</v>
      </c>
    </row>
    <row r="22" spans="2:9" ht="15.75" x14ac:dyDescent="0.25">
      <c r="B22" s="72" t="s">
        <v>187</v>
      </c>
      <c r="C22" s="73"/>
      <c r="D22" s="74"/>
      <c r="E22" s="75" t="s">
        <v>30</v>
      </c>
      <c r="F22" s="76">
        <v>14.78</v>
      </c>
      <c r="G22" s="70">
        <v>3.6</v>
      </c>
      <c r="H22" s="70">
        <v>3.41</v>
      </c>
      <c r="I22" s="71">
        <v>212000</v>
      </c>
    </row>
    <row r="23" spans="2:9" ht="15.75" x14ac:dyDescent="0.25">
      <c r="B23" s="66" t="s">
        <v>185</v>
      </c>
      <c r="C23" s="67" t="s">
        <v>186</v>
      </c>
      <c r="D23" s="68">
        <v>1</v>
      </c>
      <c r="E23" s="69" t="s">
        <v>194</v>
      </c>
      <c r="F23" s="70">
        <v>13.827999999999999</v>
      </c>
      <c r="G23" s="70">
        <v>3.45</v>
      </c>
      <c r="H23" s="70">
        <v>3.57</v>
      </c>
      <c r="I23" s="71">
        <v>140000</v>
      </c>
    </row>
    <row r="24" spans="2:9" ht="15.75" x14ac:dyDescent="0.25">
      <c r="B24" s="72" t="s">
        <v>187</v>
      </c>
      <c r="C24" s="73"/>
      <c r="D24" s="74"/>
      <c r="E24" s="75" t="s">
        <v>194</v>
      </c>
      <c r="F24" s="76">
        <v>14.94</v>
      </c>
      <c r="G24" s="70">
        <v>3.45</v>
      </c>
      <c r="H24" s="70">
        <v>3.57</v>
      </c>
      <c r="I24" s="71">
        <v>140000</v>
      </c>
    </row>
    <row r="25" spans="2:9" ht="15.75" x14ac:dyDescent="0.25">
      <c r="B25" s="66" t="s">
        <v>185</v>
      </c>
      <c r="C25" s="67" t="s">
        <v>186</v>
      </c>
      <c r="D25" s="68">
        <v>1</v>
      </c>
      <c r="E25" s="69" t="s">
        <v>195</v>
      </c>
      <c r="F25" s="70">
        <v>9.2899999999999991</v>
      </c>
      <c r="G25" s="70">
        <v>4.2300000000000004</v>
      </c>
      <c r="H25" s="70">
        <v>2.9969999999999999</v>
      </c>
      <c r="I25" s="71">
        <v>189000</v>
      </c>
    </row>
    <row r="26" spans="2:9" ht="15.75" x14ac:dyDescent="0.25">
      <c r="B26" s="72" t="s">
        <v>187</v>
      </c>
      <c r="C26" s="73"/>
      <c r="D26" s="74"/>
      <c r="E26" s="75" t="s">
        <v>195</v>
      </c>
      <c r="F26" s="76">
        <v>9.35</v>
      </c>
      <c r="G26" s="76">
        <v>3.95</v>
      </c>
      <c r="H26" s="70">
        <v>2.9969999999999999</v>
      </c>
      <c r="I26" s="77">
        <v>160000</v>
      </c>
    </row>
    <row r="27" spans="2:9" ht="15.75" x14ac:dyDescent="0.25">
      <c r="B27" s="66" t="s">
        <v>185</v>
      </c>
      <c r="C27" s="67" t="s">
        <v>186</v>
      </c>
      <c r="D27" s="68">
        <v>1</v>
      </c>
      <c r="E27" s="69" t="s">
        <v>196</v>
      </c>
      <c r="F27" s="70">
        <v>15.4</v>
      </c>
      <c r="G27" s="70">
        <v>2.94</v>
      </c>
      <c r="H27" s="70">
        <v>3.43</v>
      </c>
      <c r="I27" s="71">
        <v>147709.70000000001</v>
      </c>
    </row>
    <row r="28" spans="2:9" ht="15.75" x14ac:dyDescent="0.25">
      <c r="B28" s="72" t="s">
        <v>187</v>
      </c>
      <c r="C28" s="73"/>
      <c r="D28" s="74"/>
      <c r="E28" s="75" t="s">
        <v>196</v>
      </c>
      <c r="F28" s="76">
        <v>15.98</v>
      </c>
      <c r="G28" s="70">
        <v>2.94</v>
      </c>
      <c r="H28" s="70">
        <v>3.43</v>
      </c>
      <c r="I28" s="71">
        <v>147709.70000000001</v>
      </c>
    </row>
    <row r="29" spans="2:9" ht="15.75" x14ac:dyDescent="0.25">
      <c r="B29" s="66" t="s">
        <v>185</v>
      </c>
      <c r="C29" s="67" t="s">
        <v>186</v>
      </c>
      <c r="D29" s="79">
        <v>1</v>
      </c>
      <c r="E29" s="69" t="s">
        <v>197</v>
      </c>
      <c r="F29" s="70">
        <v>6.0198</v>
      </c>
      <c r="G29" s="70">
        <v>3.7</v>
      </c>
      <c r="H29" s="70">
        <v>2.4299999999999997</v>
      </c>
      <c r="I29" s="71">
        <v>15000</v>
      </c>
    </row>
    <row r="30" spans="2:9" ht="15.75" x14ac:dyDescent="0.25">
      <c r="B30" s="72" t="s">
        <v>187</v>
      </c>
      <c r="C30" s="73"/>
      <c r="D30" s="74"/>
      <c r="E30" s="75" t="s">
        <v>197</v>
      </c>
      <c r="F30" s="70">
        <v>6.0198</v>
      </c>
      <c r="G30" s="70">
        <v>3.7</v>
      </c>
      <c r="H30" s="70">
        <v>2.4299999999999997</v>
      </c>
      <c r="I30" s="77">
        <v>16000</v>
      </c>
    </row>
    <row r="31" spans="2:9" ht="15.75" x14ac:dyDescent="0.25">
      <c r="B31" s="66" t="s">
        <v>185</v>
      </c>
      <c r="C31" s="67" t="s">
        <v>186</v>
      </c>
      <c r="D31" s="79">
        <v>1</v>
      </c>
      <c r="E31" s="69" t="s">
        <v>197</v>
      </c>
      <c r="F31" s="70">
        <v>5.6896000000000004</v>
      </c>
      <c r="G31" s="70">
        <v>3.22</v>
      </c>
      <c r="H31" s="70">
        <v>2.1</v>
      </c>
      <c r="I31" s="71">
        <v>15000</v>
      </c>
    </row>
    <row r="32" spans="2:9" ht="15.75" x14ac:dyDescent="0.25">
      <c r="B32" s="72" t="s">
        <v>187</v>
      </c>
      <c r="C32" s="73"/>
      <c r="D32" s="74"/>
      <c r="E32" s="75" t="s">
        <v>197</v>
      </c>
      <c r="F32" s="70">
        <v>5.6896000000000004</v>
      </c>
      <c r="G32" s="70">
        <v>3.22</v>
      </c>
      <c r="H32" s="70">
        <v>2.1</v>
      </c>
      <c r="I32" s="77">
        <v>16000</v>
      </c>
    </row>
  </sheetData>
  <autoFilter ref="B4:I33" xr:uid="{EB70E133-F355-4C45-A940-7CC429D6493A}"/>
  <pageMargins left="0.27559055118110237" right="0" top="0.39370078740157483" bottom="0.39370078740157483" header="0.31496062992125984" footer="0.31496062992125984"/>
  <pageSetup paperSize="9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S01-101</vt:lpstr>
      <vt:lpstr>S02-102</vt:lpstr>
      <vt:lpstr>Tableau Comparatif</vt:lpstr>
      <vt:lpstr>'S01-101'!Print_Area</vt:lpstr>
      <vt:lpstr>'S02-102'!Print_Area</vt:lpstr>
      <vt:lpstr>'Tableau Comparatif'!Print_Area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[A Z E B]</dc:creator>
  <cp:lastModifiedBy>Marketing</cp:lastModifiedBy>
  <cp:lastPrinted>2025-12-29T08:26:57Z</cp:lastPrinted>
  <dcterms:created xsi:type="dcterms:W3CDTF">2025-12-19T19:02:18Z</dcterms:created>
  <dcterms:modified xsi:type="dcterms:W3CDTF">2026-01-07T21:08:09Z</dcterms:modified>
</cp:coreProperties>
</file>